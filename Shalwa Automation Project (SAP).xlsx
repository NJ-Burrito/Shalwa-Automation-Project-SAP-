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11"/>
  <workbookPr filterPrivacy="1" codeName="ThisWorkbook"/>
  <xr:revisionPtr revIDLastSave="0" documentId="13_ncr:1_{7F81FFF0-22E2-4FCF-A91A-0DE315A1EA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" sheetId="1" r:id="rId1"/>
    <sheet name="Navigation" sheetId="9" r:id="rId2"/>
    <sheet name="Cart" sheetId="10" r:id="rId3"/>
    <sheet name="Checkout1" sheetId="11" r:id="rId4"/>
    <sheet name="Checkout2" sheetId="12" r:id="rId5"/>
    <sheet name="Complete" sheetId="13" r:id="rId6"/>
    <sheet name="Home" sheetId="14" r:id="rId7"/>
    <sheet name="Charts" sheetId="18" r:id="rId8"/>
    <sheet name="DashboardData" sheetId="17" r:id="rId9"/>
  </sheets>
  <definedNames>
    <definedName name="_xlnm.Print_Titles" localSheetId="2">Cart!$2:$2</definedName>
    <definedName name="_xlnm.Print_Titles" localSheetId="3">Checkout1!$2:$2</definedName>
    <definedName name="_xlnm.Print_Titles" localSheetId="4">Checkout2!$2:$2</definedName>
    <definedName name="_xlnm.Print_Titles" localSheetId="5">Complete!$2:$2</definedName>
    <definedName name="_xlnm.Print_Titles" localSheetId="6">Home!$2:$2</definedName>
    <definedName name="_xlnm.Print_Titles" localSheetId="0">Login!$2:$2</definedName>
    <definedName name="_xlnm.Print_Titles" localSheetId="1">Navigation!$2:$2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4" l="1"/>
  <c r="C8" i="14"/>
  <c r="C9" i="13"/>
  <c r="C8" i="13"/>
  <c r="C9" i="12"/>
  <c r="C8" i="12"/>
  <c r="C9" i="11"/>
  <c r="C8" i="11"/>
  <c r="C9" i="10"/>
  <c r="C8" i="10"/>
  <c r="C9" i="9"/>
  <c r="C8" i="9"/>
  <c r="C9" i="1"/>
  <c r="C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<sst xmlns="http://schemas.openxmlformats.org/spreadsheetml/2006/main" count="454" uniqueCount="219">
  <si>
    <t xml:space="preserve"> </t>
  </si>
  <si>
    <t>Order</t>
  </si>
  <si>
    <t>Test Case ID</t>
  </si>
  <si>
    <t>Test Case Senario</t>
  </si>
  <si>
    <t>Test Case</t>
  </si>
  <si>
    <t>Pre-Conditions</t>
  </si>
  <si>
    <t>Test Steps</t>
  </si>
  <si>
    <t>Test Data</t>
  </si>
  <si>
    <t>Expected Results</t>
  </si>
  <si>
    <t>Project Name</t>
  </si>
  <si>
    <t xml:space="preserve">Module Name </t>
  </si>
  <si>
    <t>Referance Document</t>
  </si>
  <si>
    <t>Created By</t>
  </si>
  <si>
    <t>Date of Creation</t>
  </si>
  <si>
    <t>Date of Review</t>
  </si>
  <si>
    <t>Nader Alzghoul</t>
  </si>
  <si>
    <t>Post Conditions</t>
  </si>
  <si>
    <t>Actual Result</t>
  </si>
  <si>
    <t>Status</t>
  </si>
  <si>
    <t>Pass</t>
  </si>
  <si>
    <t>Sauce Lab</t>
  </si>
  <si>
    <t>GUI Automation Test</t>
  </si>
  <si>
    <t>Shalwa Automation Project (SAP)</t>
  </si>
  <si>
    <t>SAP-GUI-LOGIN-01</t>
  </si>
  <si>
    <t>Standard user successful login</t>
  </si>
  <si>
    <t>Verify standard_user can log in and reach inventory</t>
  </si>
  <si>
    <t>Browser open at login page; driver ready</t>
  </si>
  <si>
    <t>Enter username standard_user; enter password secret_sauce; wait 3s; click Login</t>
  </si>
  <si>
    <t>username=standard_user; password=secret_sauce</t>
  </si>
  <si>
    <t>Browser navigates to https://www.saucedemo.com/inventory.html</t>
  </si>
  <si>
    <t>User is on inventory page; session active</t>
  </si>
  <si>
    <t>SAP-GUI-LOGIN-02</t>
  </si>
  <si>
    <t>Problem user login navigation</t>
  </si>
  <si>
    <t>Verify problem_user can log in and reach inventory</t>
  </si>
  <si>
    <t>Enter username problem_user; enter password secret_sauce; wait 3s; click Login</t>
  </si>
  <si>
    <t>username=problem_user; password=secret_sauce</t>
  </si>
  <si>
    <t>Browser navigates to inventory page</t>
  </si>
  <si>
    <t>User is on inventory page</t>
  </si>
  <si>
    <t>SAP-GUI-LOGIN-03</t>
  </si>
  <si>
    <t>Performance glitched user login</t>
  </si>
  <si>
    <t>Verify performance_glitch_user login succeeds despite delays</t>
  </si>
  <si>
    <t>Enter username performance_glitch_user; enter password secret_sauce; wait 3s; click Login</t>
  </si>
  <si>
    <t>username=performance_glitch_user; password=secret_sauce</t>
  </si>
  <si>
    <t>Browser navigates to inventory page within extended timeout</t>
  </si>
  <si>
    <t>SAP-GUI-LOGIN-04</t>
  </si>
  <si>
    <t>Locked out user error message</t>
  </si>
  <si>
    <t>Verify locked_out_user shows locked out error</t>
  </si>
  <si>
    <t>Enter username locked_out_user; enter password secret_sauce; wait 3s; click Login</t>
  </si>
  <si>
    <t>username=locked_out_user; password=secret_sauce</t>
  </si>
  <si>
    <t>Error message displayed containing locked out text</t>
  </si>
  <si>
    <t>Remains on login page; error visible</t>
  </si>
  <si>
    <t>SAP-GUI-LOGIN-05</t>
  </si>
  <si>
    <t>Invalid credentials handling</t>
  </si>
  <si>
    <t>Verify incorrect_user shows error attribute</t>
  </si>
  <si>
    <t>Enter username incorrect_user; enter password secret_sauce; wait 3s; click Login</t>
  </si>
  <si>
    <t>username=incorrect_user; password=secret_sauce</t>
  </si>
  <si>
    <t>Error container present and data-test attribute returned</t>
  </si>
  <si>
    <t>Remains on login page; error attribute available</t>
  </si>
  <si>
    <t>SAP-GUI-NAV-01</t>
  </si>
  <si>
    <t>Footer social link href verification</t>
  </si>
  <si>
    <t>Verify footer Twitter href equals expected value</t>
  </si>
  <si>
    <t>User logged in on inventory page</t>
  </si>
  <si>
    <t>Read href attribute of anchor with class social_twitter</t>
  </si>
  <si>
    <t>none</t>
  </si>
  <si>
    <t>SAP-GUI-NAV-02</t>
  </si>
  <si>
    <t>Footer social opens new tab</t>
  </si>
  <si>
    <t>Verify clicking Twitter opens a new browser tab</t>
  </si>
  <si>
    <t>Click social_twitter anchor; wait for new window; switch to new window</t>
  </si>
  <si>
    <t>New window handle exists and differs from original</t>
  </si>
  <si>
    <t>New tab open with external site</t>
  </si>
  <si>
    <t>SAP-GUI-NAV-03</t>
  </si>
  <si>
    <t>Footer image source</t>
  </si>
  <si>
    <t>Verify footer image src attribute</t>
  </si>
  <si>
    <t>Wait for footer element presence; read src attribute</t>
  </si>
  <si>
    <t>src equals expected SwagBot_Footer_graphic URL</t>
  </si>
  <si>
    <t>Footer image present in DOM</t>
  </si>
  <si>
    <t>SAP-GUI-NAV-04</t>
  </si>
  <si>
    <t>Sidebar About link navigation</t>
  </si>
  <si>
    <t>Verify About sidebar link navigates to external site</t>
  </si>
  <si>
    <t>Click burger menu; wait for sidebar; click About link</t>
  </si>
  <si>
    <t>Browser navigates to https://saucelabs.com/ or opens external tab</t>
  </si>
  <si>
    <t>Sidebar closed or navigation performed</t>
  </si>
  <si>
    <t>SAP-GUI-NAV-05</t>
  </si>
  <si>
    <t>Sidebar All Items navigation</t>
  </si>
  <si>
    <t>Verify All Items sidebar returns to inventory</t>
  </si>
  <si>
    <t>User logged in on any page</t>
  </si>
  <si>
    <t>Click burger menu; wait; click All Items link</t>
  </si>
  <si>
    <t>On inventory page</t>
  </si>
  <si>
    <t>SAP-GUI-NAV-06</t>
  </si>
  <si>
    <t>Sidebar Logout navigation</t>
  </si>
  <si>
    <t>Verify Logout sidebar link returns to login page</t>
  </si>
  <si>
    <t>Click burger menu; wait; click Logout link</t>
  </si>
  <si>
    <t>Browser navigates to https://www.saucedemo.com/</t>
  </si>
  <si>
    <t>Session ended; login page displayed</t>
  </si>
  <si>
    <t>SAP-GUI-CART-01</t>
  </si>
  <si>
    <t>Continue shopping returns to inventory</t>
  </si>
  <si>
    <t>Verify Continue Shopping button navigates to inventory</t>
  </si>
  <si>
    <t>User on cart page with items present</t>
  </si>
  <si>
    <t>Click Continue Shopping; wait for inventory URL</t>
  </si>
  <si>
    <t>Cart state preserved in session/localStorage</t>
  </si>
  <si>
    <t>SAP-GUI-CART-02</t>
  </si>
  <si>
    <t>Cart persistence after navigation</t>
  </si>
  <si>
    <t>Verify items persist after navigating away and back</t>
  </si>
  <si>
    <t>Click Continue Shopping; navigate back to cart; inspect items</t>
  </si>
  <si>
    <t>Previously added items still present in cart</t>
  </si>
  <si>
    <t>Cart page shows same items</t>
  </si>
  <si>
    <t>SAP-GUI-CART-03</t>
  </si>
  <si>
    <t>Remove all items functionality</t>
  </si>
  <si>
    <t>Verify Remove All removes all items and badge disappears</t>
  </si>
  <si>
    <t>User with multiple items in cart</t>
  </si>
  <si>
    <t>Click Remove All buttons; verify badge absent</t>
  </si>
  <si>
    <t>Shopping cart badge not present; item count 0</t>
  </si>
  <si>
    <t>Cart empty</t>
  </si>
  <si>
    <t>SAP-GUI-CART-04</t>
  </si>
  <si>
    <t>Remove single item functionality</t>
  </si>
  <si>
    <t>Verify removing one item decrements count</t>
  </si>
  <si>
    <t>User with N items in cart</t>
  </si>
  <si>
    <t>Click Remove on one item; read remaining count</t>
  </si>
  <si>
    <t>Remaining count equals previous minus one</t>
  </si>
  <si>
    <t>Cart updated</t>
  </si>
  <si>
    <t>SAP-GUI-CART-05</t>
  </si>
  <si>
    <t>Checkout navigation from cart</t>
  </si>
  <si>
    <t>Verify Checkout button navigates to checkout step one</t>
  </si>
  <si>
    <t>User on cart page with items</t>
  </si>
  <si>
    <t>Click Checkout; wait for /checkout-step-one.html</t>
  </si>
  <si>
    <t>Browser navigates to checkout-step-one page</t>
  </si>
  <si>
    <t>On checkout step one page</t>
  </si>
  <si>
    <t>SAP-GUI-CHK1-01</t>
  </si>
  <si>
    <t>Checkout step one URL</t>
  </si>
  <si>
    <t>Verify checkout step one page URL is correct</t>
  </si>
  <si>
    <t>User navigated to checkout-step-one page</t>
  </si>
  <si>
    <t>Read current URL</t>
  </si>
  <si>
    <t>URL equals https://www.saucedemo.com/checkout-step-one.html</t>
  </si>
  <si>
    <t>SAP-GUI-CHK1-02</t>
  </si>
  <si>
    <t>Cancel from checkout step one</t>
  </si>
  <si>
    <t>Verify Cancel returns to cart page</t>
  </si>
  <si>
    <t>User on checkout-step-one page</t>
  </si>
  <si>
    <t>Click Cancel; wait for /cart.html</t>
  </si>
  <si>
    <t>Browser navigates to cart page</t>
  </si>
  <si>
    <t>On cart page</t>
  </si>
  <si>
    <t>SAP-GUI-CHK1-03</t>
  </si>
  <si>
    <t>Continue to checkout step two</t>
  </si>
  <si>
    <t>Verify Continue navigates to checkout step two</t>
  </si>
  <si>
    <t>User on checkout-step-one page with valid form</t>
  </si>
  <si>
    <t>Fill required fields; click Continue; wait for /checkout-step-two.html</t>
  </si>
  <si>
    <t>firstName, lastName, postalCode</t>
  </si>
  <si>
    <t>Browser navigates to checkout-step-two page</t>
  </si>
  <si>
    <t>On checkout step two page</t>
  </si>
  <si>
    <t>SAP-GUI-CHK2-01</t>
  </si>
  <si>
    <t>Checkout step two URL</t>
  </si>
  <si>
    <t>Verify checkout step two page URL is correct</t>
  </si>
  <si>
    <t>User on checkout-step-two page</t>
  </si>
  <si>
    <t>URL equals https://www.saucedemo.com/checkout-step-two.html</t>
  </si>
  <si>
    <t>SAP-GUI-CHK2-02</t>
  </si>
  <si>
    <t>Finish checkout completes order</t>
  </si>
  <si>
    <t>Verify Finish navigates to checkout complete page</t>
  </si>
  <si>
    <t>User on checkout-step-two page with items</t>
  </si>
  <si>
    <t>Click Finish; wait for /checkout-complete.html</t>
  </si>
  <si>
    <t>Browser navigates to checkout-complete page</t>
  </si>
  <si>
    <t>Order complete page shown</t>
  </si>
  <si>
    <t>SAP-GUI-CHK2-03</t>
  </si>
  <si>
    <t>Cancel from checkout step two</t>
  </si>
  <si>
    <t>Verify Cancel returns to inventory</t>
  </si>
  <si>
    <t>Click Cancel; wait for /inventory.html</t>
  </si>
  <si>
    <t>SAP-GUI-COMPLETE-01</t>
  </si>
  <si>
    <t>Checkout complete URL</t>
  </si>
  <si>
    <t>Verify checkout complete page URL</t>
  </si>
  <si>
    <t>User completed checkout</t>
  </si>
  <si>
    <t>Read current URL on completion page</t>
  </si>
  <si>
    <t>URL equals https://www.saucedemo.com/checkout-complete.html</t>
  </si>
  <si>
    <t>Order complete state shown</t>
  </si>
  <si>
    <t>SAP-GUI-HOME-01</t>
  </si>
  <si>
    <t>Sort products price ascending</t>
  </si>
  <si>
    <t>Verify sort by price ascending orders products</t>
  </si>
  <si>
    <t>User on inventory page</t>
  </si>
  <si>
    <t>Select sort option Price (low to high); read product prices</t>
  </si>
  <si>
    <t>Product prices in ascending order</t>
  </si>
  <si>
    <t>UI shows sorted list</t>
  </si>
  <si>
    <t>SAP-GUI-HOME-02</t>
  </si>
  <si>
    <t>Sort products price descending</t>
  </si>
  <si>
    <t>Verify sort by price descending orders products</t>
  </si>
  <si>
    <t>Select sort option Price (high to low); read product prices</t>
  </si>
  <si>
    <t>Product prices in descending order</t>
  </si>
  <si>
    <t>As Expected</t>
  </si>
  <si>
    <t>username=visual_user; password=secret_sauce</t>
  </si>
  <si>
    <t>username=error_user; password=secret_sauce</t>
  </si>
  <si>
    <t>Verify visual_user shows error attribute</t>
  </si>
  <si>
    <t>Verify error_user shows error attribute</t>
  </si>
  <si>
    <t>SAP-GUI-LOGIN-06</t>
  </si>
  <si>
    <t>SAP-GUI-LOGIN-07</t>
  </si>
  <si>
    <t>Enter username visual_user; enter password secret_sauce; wait 3s; click Login</t>
  </si>
  <si>
    <t>Enter username error_user; enter password secret_sauce; wait 3s; click Login</t>
  </si>
  <si>
    <t>New tabs opened; original window changed</t>
  </si>
  <si>
    <t>href equals https://x.com/saucelabssaucelabs</t>
  </si>
  <si>
    <t>https://x.com/saucelabs</t>
  </si>
  <si>
    <t>Metric</t>
  </si>
  <si>
    <t>Before Testing</t>
  </si>
  <si>
    <t>After Testing</t>
  </si>
  <si>
    <t>Page Load Time (ms)</t>
  </si>
  <si>
    <t>Error Rate %</t>
  </si>
  <si>
    <t>User Engagement (min/session)</t>
  </si>
  <si>
    <t>Conversion Rate %</t>
  </si>
  <si>
    <t>Month</t>
  </si>
  <si>
    <t>Performance Score</t>
  </si>
  <si>
    <t>Jan</t>
  </si>
  <si>
    <t>Feb</t>
  </si>
  <si>
    <t>Mar</t>
  </si>
  <si>
    <t>Apr</t>
  </si>
  <si>
    <t>May</t>
  </si>
  <si>
    <t>Jun</t>
  </si>
  <si>
    <t>Satisfaction</t>
  </si>
  <si>
    <t>Percent</t>
  </si>
  <si>
    <t>Very Satisfied</t>
  </si>
  <si>
    <t>Satisfied</t>
  </si>
  <si>
    <t>Neutral</t>
  </si>
  <si>
    <t>Dissatisfied</t>
  </si>
  <si>
    <t>LoadTime_ms</t>
  </si>
  <si>
    <t>Engagement_min</t>
  </si>
  <si>
    <t>Shalwa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</si>
</sst>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0"/>
      <color theme="1"/>
      <name val="AmmanV3 Sans Bold"/>
      <family val="3"/>
    </font>
    <font>
      <b/>
      <sz val="16"/>
      <color theme="1"/>
      <name val="AmmanV3 Sans Bold"/>
      <family val="3"/>
    </font>
    <font>
      <sz val="16"/>
      <color theme="1"/>
      <name val="AmmanV3 Sans Bold"/>
      <family val="3"/>
    </font>
    <font>
      <sz val="14"/>
      <color theme="0"/>
      <name val="Franklin Gothic Medium"/>
      <family val="2"/>
    </font>
    <font>
      <sz val="14"/>
      <color theme="1"/>
      <name val="Franklin Gothic Medium"/>
      <family val="2"/>
    </font>
    <font>
      <sz val="12"/>
      <color theme="1"/>
      <name val="Franklin Gothic Medium"/>
      <family val="2"/>
    </font>
    <font>
      <u/>
      <sz val="11"/>
      <color theme="10"/>
      <name val="Franklin Gothic Book"/>
      <family val="2"/>
      <scheme val="minor"/>
    </font>
    <font>
      <sz val="14"/>
      <color theme="1"/>
      <name val="AmmanV3 Sans Bold"/>
      <family val="3"/>
    </font>
    <font>
      <sz val="14"/>
      <color theme="10"/>
      <name val="Franklin Gothic Book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E6CB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theme="1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medium">
        <color theme="1"/>
      </right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theme="1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/>
      <right style="medium">
        <color theme="1"/>
      </right>
      <top/>
      <bottom style="thin">
        <color theme="3" tint="0.79998168889431442"/>
      </bottom>
      <diagonal/>
    </border>
    <border>
      <left style="medium">
        <color theme="1"/>
      </left>
      <right style="thin">
        <color theme="3" tint="0.79998168889431442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medium">
        <color theme="1"/>
      </right>
      <top/>
      <bottom style="thin">
        <color theme="3" tint="0.79998168889431442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theme="3" tint="0.79998168889431442"/>
      </bottom>
      <diagonal/>
    </border>
    <border>
      <left style="thin">
        <color indexed="64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8168889431442"/>
      </right>
      <top/>
      <bottom style="thin">
        <color theme="3" tint="0.79998168889431442"/>
      </bottom>
      <diagonal/>
    </border>
    <border>
      <left/>
      <right style="thin">
        <color theme="3" tint="0.7999816888943144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vertical="center"/>
    </xf>
    <xf numFmtId="44" fontId="5" fillId="4" borderId="1" xfId="0" applyNumberFormat="1" applyFont="1" applyFill="1" applyBorder="1" applyAlignment="1">
      <alignment horizontal="center" vertical="center" wrapText="1"/>
    </xf>
    <xf numFmtId="44" fontId="6" fillId="3" borderId="2" xfId="0" applyNumberFormat="1" applyFont="1" applyFill="1" applyBorder="1" applyAlignment="1">
      <alignment horizontal="center" vertical="center" wrapText="1"/>
    </xf>
    <xf numFmtId="44" fontId="5" fillId="2" borderId="3" xfId="0" applyNumberFormat="1" applyFont="1" applyFill="1" applyBorder="1" applyAlignment="1">
      <alignment horizontal="center" vertical="center" wrapText="1"/>
    </xf>
    <xf numFmtId="44" fontId="5" fillId="4" borderId="5" xfId="0" applyNumberFormat="1" applyFont="1" applyFill="1" applyBorder="1" applyAlignment="1">
      <alignment horizontal="center" vertical="center" wrapText="1"/>
    </xf>
    <xf numFmtId="44" fontId="5" fillId="4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4" fontId="9" fillId="3" borderId="4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10" fillId="0" borderId="4" xfId="1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6" fillId="3" borderId="0" xfId="0" applyNumberFormat="1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>
      <alignment vertical="center"/>
    </xf>
    <xf numFmtId="0" fontId="1" fillId="6" borderId="16" xfId="0" applyFont="1" applyFill="1" applyBorder="1" applyAlignment="1">
      <alignment vertical="center"/>
    </xf>
    <xf numFmtId="0" fontId="1" fillId="6" borderId="0" xfId="0" applyFont="1" applyFill="1" applyBorder="1" applyAlignment="1">
      <alignment vertical="center"/>
    </xf>
    <xf numFmtId="0" fontId="1" fillId="6" borderId="17" xfId="0" applyFont="1" applyFill="1" applyBorder="1" applyAlignment="1">
      <alignment vertical="center"/>
    </xf>
    <xf numFmtId="44" fontId="2" fillId="6" borderId="0" xfId="0" applyNumberFormat="1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6" borderId="18" xfId="0" applyFont="1" applyFill="1" applyBorder="1" applyAlignment="1">
      <alignment vertical="center"/>
    </xf>
    <xf numFmtId="0" fontId="1" fillId="6" borderId="19" xfId="0" applyFont="1" applyFill="1" applyBorder="1" applyAlignment="1">
      <alignment vertical="center"/>
    </xf>
    <xf numFmtId="0" fontId="1" fillId="6" borderId="20" xfId="0" applyFont="1" applyFill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44" fontId="6" fillId="3" borderId="22" xfId="0" applyNumberFormat="1" applyFont="1" applyFill="1" applyBorder="1" applyAlignment="1">
      <alignment horizontal="center" vertical="center" wrapText="1"/>
    </xf>
    <xf numFmtId="44" fontId="10" fillId="0" borderId="23" xfId="1" applyNumberFormat="1" applyFont="1" applyBorder="1" applyAlignment="1">
      <alignment horizontal="center" vertical="center" wrapText="1"/>
    </xf>
    <xf numFmtId="44" fontId="9" fillId="3" borderId="23" xfId="0" applyNumberFormat="1" applyFont="1" applyFill="1" applyBorder="1" applyAlignment="1">
      <alignment horizontal="center" vertical="center" wrapText="1"/>
    </xf>
    <xf numFmtId="14" fontId="6" fillId="0" borderId="24" xfId="0" applyNumberFormat="1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44" fontId="5" fillId="4" borderId="25" xfId="0" applyNumberFormat="1" applyFont="1" applyFill="1" applyBorder="1" applyAlignment="1">
      <alignment horizontal="center" vertical="center" wrapText="1"/>
    </xf>
    <xf numFmtId="44" fontId="5" fillId="2" borderId="26" xfId="0" applyNumberFormat="1" applyFont="1" applyFill="1" applyBorder="1" applyAlignment="1">
      <alignment horizontal="center" vertical="center" wrapText="1"/>
    </xf>
    <xf numFmtId="44" fontId="5" fillId="4" borderId="27" xfId="0" applyNumberFormat="1" applyFont="1" applyFill="1" applyBorder="1" applyAlignment="1">
      <alignment horizontal="center" vertical="center" wrapText="1"/>
    </xf>
    <xf numFmtId="44" fontId="5" fillId="4" borderId="28" xfId="0" applyNumberFormat="1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1" fillId="6" borderId="30" xfId="0" applyFont="1" applyFill="1" applyBorder="1" applyAlignment="1">
      <alignment vertical="center"/>
    </xf>
    <xf numFmtId="0" fontId="1" fillId="6" borderId="31" xfId="0" applyFont="1" applyFill="1" applyBorder="1" applyAlignment="1">
      <alignment vertical="center"/>
    </xf>
    <xf numFmtId="0" fontId="1" fillId="6" borderId="32" xfId="0" applyFont="1" applyFill="1" applyBorder="1" applyAlignment="1">
      <alignment vertical="center"/>
    </xf>
    <xf numFmtId="0" fontId="1" fillId="6" borderId="33" xfId="0" applyFont="1" applyFill="1" applyBorder="1" applyAlignment="1">
      <alignment vertical="center"/>
    </xf>
    <xf numFmtId="0" fontId="1" fillId="6" borderId="34" xfId="0" applyFont="1" applyFill="1" applyBorder="1" applyAlignment="1">
      <alignment vertical="center"/>
    </xf>
    <xf numFmtId="0" fontId="1" fillId="6" borderId="35" xfId="0" applyFont="1" applyFill="1" applyBorder="1" applyAlignment="1">
      <alignment vertical="center"/>
    </xf>
    <xf numFmtId="44" fontId="5" fillId="6" borderId="31" xfId="0" applyNumberFormat="1" applyFont="1" applyFill="1" applyBorder="1" applyAlignment="1">
      <alignment horizontal="center" vertical="center" wrapText="1"/>
    </xf>
    <xf numFmtId="14" fontId="6" fillId="6" borderId="3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7" fillId="6" borderId="35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8" fillId="5" borderId="12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1"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34" formatCode="_(&quot;$&quot;* #,##0.00_);_(&quot;$&quot;* \(#,##0.00\);_(&quot;$&quot;* &quot;-&quot;??_);_(@_)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ck">
          <color theme="1"/>
        </left>
        <right style="thick">
          <color theme="1"/>
        </right>
        <top style="thick">
          <color theme="1"/>
        </top>
        <bottom style="thick">
          <color theme="1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Franklin Gothic Medium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strike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 diagonalUp="0" diagonalDown="0">
        <left style="thick">
          <color rgb="FF000000"/>
        </left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mmanV3 Sans Bold"/>
        <scheme val="none"/>
      </font>
      <numFmt numFmtId="0" formatCode="General"/>
      <alignment horizontal="center" vertical="center" textRotation="0" wrapText="1" indent="0" justifyLastLine="0" shrinkToFit="0" readingOrder="0"/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color auto="1"/>
      </font>
      <fill>
        <patternFill patternType="solid">
          <fgColor theme="5" tint="0.39991454817346722"/>
          <bgColor theme="3" tint="0.59996337778862885"/>
        </patternFill>
      </fill>
      <border>
        <bottom style="thin">
          <color theme="5" tint="0.79998168889431442"/>
        </bottom>
        <horizontal style="thin">
          <color theme="5" tint="0.39997558519241921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97558519241921"/>
          <bgColor theme="5" tint="0.39997558519241921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top style="thin">
          <color theme="5" tint="-0.249977111117893"/>
        </top>
        <bottom style="thin">
          <color theme="5" tint="-0.249977111117893"/>
        </bottom>
        <horizontal style="thin">
          <color theme="5" tint="-0.249977111117893"/>
        </horizontal>
      </border>
    </dxf>
    <dxf>
      <font>
        <color theme="0"/>
      </font>
      <fill>
        <patternFill>
          <bgColor theme="3"/>
        </patternFill>
      </fill>
      <border>
        <top style="thin">
          <color theme="5" tint="0.79998168889431442"/>
        </top>
      </border>
    </dxf>
    <dxf>
      <font>
        <color theme="0"/>
      </font>
      <fill>
        <patternFill patternType="solid">
          <fgColor theme="5" tint="-0.249977111117893"/>
          <bgColor theme="3"/>
        </patternFill>
      </fill>
      <border>
        <horizontal style="thin">
          <color theme="5" tint="-0.249977111117893"/>
        </horizontal>
      </border>
    </dxf>
    <dxf>
      <font>
        <color theme="1"/>
      </font>
      <border>
        <left style="thin">
          <color theme="3"/>
        </left>
        <right style="thin">
          <color theme="3"/>
        </right>
        <top style="thin">
          <color theme="3"/>
        </top>
        <bottom style="thick">
          <color theme="3"/>
        </bottom>
        <vertical style="thin">
          <color theme="5" tint="0.79995117038483843"/>
        </vertical>
        <horizontal style="thin">
          <color theme="5" tint="0.79998168889431442"/>
        </horizontal>
      </border>
    </dxf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120"/>
      <tableStyleElement type="headerRow" dxfId="119"/>
      <tableStyleElement type="secondRowStripe" dxfId="118"/>
    </tableStyle>
    <tableStyle name="Custom Pivot Style" table="0" count="13" xr9:uid="{00000000-0011-0000-FFFF-FFFF01000000}">
      <tableStyleElement type="wholeTable" dxfId="117"/>
      <tableStyleElement type="headerRow" dxfId="116"/>
      <tableStyleElement type="totalRow" dxfId="115"/>
      <tableStyleElement type="firstRowStripe" dxfId="114"/>
      <tableStyleElement type="firstColumnStripe" dxfId="113"/>
      <tableStyleElement type="firstHeaderCell" dxfId="112"/>
      <tableStyleElement type="firstSubtotalRow" dxfId="111"/>
      <tableStyleElement type="secondSubtotalRow" dxfId="110"/>
      <tableStyleElement type="firstColumnSubheading" dxfId="109"/>
      <tableStyleElement type="firstRowSubheading" dxfId="108"/>
      <tableStyleElement type="secondRowSubheading" dxfId="107"/>
      <tableStyleElement type="pageFieldLabels" dxfId="106"/>
      <tableStyleElement type="pageFieldValues" dxfId="105"/>
    </tableStyle>
  </tableStyles>
  <colors>
    <mruColors>
      <color rgb="FF2E6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User Satisfaction Breakdown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83633295838019"/>
          <c:y val="0.14825530570775255"/>
          <c:w val="0.59081964754405703"/>
          <c:h val="0.80814120242108978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0"/>
            <c:extLst>
              <c:ext xmlns:c16="http://schemas.microsoft.com/office/drawing/2014/chart" uri="{C3380CC4-5D6E-409C-BE32-E72D297353CC}">
                <c16:uniqueId val="{00000001-24C6-4E84-B347-DC20E5495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DashboardData!$H$2:$H$5</c:f>
              <c:strCache>
                <c:ptCount val="4"/>
                <c:pt idx="0">
                  <c:v>Very Satisfied</c:v>
                </c:pt>
                <c:pt idx="1">
                  <c:v>Satisfied</c:v>
                </c:pt>
                <c:pt idx="2">
                  <c:v>Neutral</c:v>
                </c:pt>
                <c:pt idx="3">
                  <c:v>Dissatisfied</c:v>
                </c:pt>
              </c:strCache>
            </c:strRef>
          </c:cat>
          <c:val>
            <c:numRef>
              <c:f>DashboardData!$I$2:$I$5</c:f>
              <c:numCache>
                <c:formatCode>General</c:formatCode>
                <c:ptCount val="4"/>
                <c:pt idx="0">
                  <c:v>45</c:v>
                </c:pt>
                <c:pt idx="1">
                  <c:v>30</c:v>
                </c:pt>
                <c:pt idx="2">
                  <c:v>15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6-4E84-B347-DC20E5495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gradFill flip="none" rotWithShape="1">
          <a:gsLst>
            <a:gs pos="0">
              <a:schemeClr val="accent1"/>
            </a:gs>
            <a:gs pos="100000">
              <a:schemeClr val="accent1">
                <a:shade val="40000"/>
              </a:schemeClr>
            </a:gs>
          </a:gsLst>
          <a:lin ang="5400000" scaled="1"/>
          <a:tileRect/>
        </a:gradFill>
        <a:effectLst>
          <a:outerShdw blurRad="63500" dist="37357" dir="2700000" rotWithShape="0">
            <a:scrgbClr r="0" g="0" b="0"/>
          </a:outerShdw>
        </a:effectLst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Performance Improvement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DashboardData!$F$1</c:f>
              <c:strCache>
                <c:ptCount val="1"/>
                <c:pt idx="0">
                  <c:v>Performance Score</c:v>
                </c:pt>
              </c:strCache>
            </c:strRef>
          </c:tx>
          <c:spPr>
            <a:ln>
              <a:solidFill>
                <a:srgbClr val="228BE6"/>
              </a:solidFill>
            </a:ln>
          </c:spPr>
          <c:marker>
            <c:symbol val="circle"/>
            <c:size val="8"/>
            <c:spPr>
              <a:solidFill>
                <a:srgbClr val="FFFFFF"/>
              </a:solidFill>
              <a:ln>
                <a:solidFill>
                  <a:srgbClr val="228BE6"/>
                </a:solidFill>
                <a:prstDash val="solid"/>
              </a:ln>
            </c:spPr>
          </c:marker>
          <c:cat>
            <c:strRef>
              <c:f>DashboardData!$E$2:$E$7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DashboardData!$F$2:$F$7</c:f>
              <c:numCache>
                <c:formatCode>General</c:formatCode>
                <c:ptCount val="6"/>
                <c:pt idx="0">
                  <c:v>62</c:v>
                </c:pt>
                <c:pt idx="1">
                  <c:v>68</c:v>
                </c:pt>
                <c:pt idx="2">
                  <c:v>72</c:v>
                </c:pt>
                <c:pt idx="3">
                  <c:v>78</c:v>
                </c:pt>
                <c:pt idx="4">
                  <c:v>85</c:v>
                </c:pt>
                <c:pt idx="5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7-4AAD-97BB-E648868EE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049327"/>
        <c:axId val="545047407"/>
      </c:lineChart>
      <c:catAx>
        <c:axId val="545049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047407"/>
        <c:crosses val="autoZero"/>
        <c:auto val="1"/>
        <c:lblAlgn val="ctr"/>
        <c:lblOffset val="100"/>
        <c:noMultiLvlLbl val="0"/>
      </c:catAx>
      <c:valAx>
        <c:axId val="5450474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Performance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049327"/>
        <c:crosses val="autoZero"/>
        <c:crossBetween val="between"/>
      </c:valAx>
      <c:spPr>
        <a:gradFill flip="none" rotWithShape="1">
          <a:gsLst>
            <a:gs pos="0">
              <a:sysClr val="window" lastClr="FFFFFF"/>
            </a:gs>
            <a:gs pos="100000">
              <a:sysClr val="window" lastClr="FFFFFF">
                <a:shade val="30000"/>
              </a:sysClr>
            </a:gs>
          </a:gsLst>
          <a:lin ang="0" scaled="1"/>
          <a:tileRect/>
        </a:gradFill>
        <a:effectLst>
          <a:outerShdw blurRad="63500" dist="37357" dir="2700000" rotWithShape="0">
            <a:scrgbClr r="0" g="0" b="0"/>
          </a:outerShdw>
        </a:effectLst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AFAFA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Key Performance Metrics Before vs After Testing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Before Testing</c:v>
          </c:tx>
          <c:spPr>
            <a:solidFill>
              <a:srgbClr val="DC354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DashboardData!$A$2:$A$5</c:f>
              <c:strCache>
                <c:ptCount val="4"/>
                <c:pt idx="0">
                  <c:v>Page Load Time (ms)</c:v>
                </c:pt>
                <c:pt idx="1">
                  <c:v>Error Rate %</c:v>
                </c:pt>
                <c:pt idx="2">
                  <c:v>User Engagement (min/session)</c:v>
                </c:pt>
                <c:pt idx="3">
                  <c:v>Conversion Rate %</c:v>
                </c:pt>
              </c:strCache>
            </c:strRef>
          </c:cat>
          <c:val>
            <c:numRef>
              <c:f>DashboardData!$B$2:$B$5</c:f>
              <c:numCache>
                <c:formatCode>General</c:formatCode>
                <c:ptCount val="4"/>
                <c:pt idx="0">
                  <c:v>1200</c:v>
                </c:pt>
                <c:pt idx="1">
                  <c:v>4.8</c:v>
                </c:pt>
                <c:pt idx="2">
                  <c:v>3.2</c:v>
                </c:pt>
                <c:pt idx="3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6-4E3D-8ACC-BD61AE10FE0F}"/>
            </c:ext>
          </c:extLst>
        </c:ser>
        <c:ser>
          <c:idx val="1"/>
          <c:order val="1"/>
          <c:tx>
            <c:v>After Testing</c:v>
          </c:tx>
          <c:spPr>
            <a:solidFill>
              <a:srgbClr val="28A74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DashboardData!$A$2:$A$5</c:f>
              <c:strCache>
                <c:ptCount val="4"/>
                <c:pt idx="0">
                  <c:v>Page Load Time (ms)</c:v>
                </c:pt>
                <c:pt idx="1">
                  <c:v>Error Rate %</c:v>
                </c:pt>
                <c:pt idx="2">
                  <c:v>User Engagement (min/session)</c:v>
                </c:pt>
                <c:pt idx="3">
                  <c:v>Conversion Rate %</c:v>
                </c:pt>
              </c:strCache>
            </c:strRef>
          </c:cat>
          <c:val>
            <c:numRef>
              <c:f>DashboardData!$C$2:$C$5</c:f>
              <c:numCache>
                <c:formatCode>General</c:formatCode>
                <c:ptCount val="4"/>
                <c:pt idx="0">
                  <c:v>650</c:v>
                </c:pt>
                <c:pt idx="1">
                  <c:v>1.2</c:v>
                </c:pt>
                <c:pt idx="2">
                  <c:v>5.0999999999999996</c:v>
                </c:pt>
                <c:pt idx="3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6-4E3D-8ACC-BD61AE10F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048367"/>
        <c:axId val="545054127"/>
      </c:barChart>
      <c:catAx>
        <c:axId val="545048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5054127"/>
        <c:crosses val="autoZero"/>
        <c:auto val="1"/>
        <c:lblAlgn val="ctr"/>
        <c:lblOffset val="100"/>
        <c:noMultiLvlLbl val="0"/>
      </c:catAx>
      <c:valAx>
        <c:axId val="5450541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048367"/>
        <c:crosses val="autoZero"/>
        <c:crossBetween val="between"/>
      </c:valAx>
      <c:spPr>
        <a:effectLst>
          <a:outerShdw blurRad="63500" dist="37357" dir="2700000" rotWithShape="0">
            <a:scrgbClr r="0" g="0" b="0"/>
          </a:outerShdw>
        </a:effectLst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Correlation: Load Time vs Engagement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Load Time vs Engagement</c:v>
          </c:tx>
          <c:spPr>
            <a:ln w="19050">
              <a:noFill/>
            </a:ln>
          </c:spPr>
          <c:marker>
            <c:symbol val="diamond"/>
            <c:size val="8"/>
            <c:spPr>
              <a:solidFill>
                <a:srgbClr val="FF8C00"/>
              </a:solidFill>
            </c:spPr>
          </c:marker>
          <c:trendline>
            <c:trendlineType val="linear"/>
            <c:dispRSqr val="1"/>
            <c:dispEq val="0"/>
            <c:trendlineLbl>
              <c:numFmt formatCode="General" sourceLinked="0"/>
            </c:trendlineLbl>
          </c:trendline>
          <c:xVal>
            <c:numRef>
              <c:f>DashboardData!$K$2:$K$7</c:f>
              <c:numCache>
                <c:formatCode>General</c:formatCode>
                <c:ptCount val="6"/>
                <c:pt idx="0">
                  <c:v>1200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700</c:v>
                </c:pt>
                <c:pt idx="5">
                  <c:v>650</c:v>
                </c:pt>
              </c:numCache>
            </c:numRef>
          </c:xVal>
          <c:yVal>
            <c:numRef>
              <c:f>DashboardData!$L$2:$L$7</c:f>
              <c:numCache>
                <c:formatCode>General</c:formatCode>
                <c:ptCount val="6"/>
                <c:pt idx="0">
                  <c:v>2.8</c:v>
                </c:pt>
                <c:pt idx="1">
                  <c:v>3.1</c:v>
                </c:pt>
                <c:pt idx="2">
                  <c:v>3.6</c:v>
                </c:pt>
                <c:pt idx="3">
                  <c:v>4.2</c:v>
                </c:pt>
                <c:pt idx="4">
                  <c:v>4.7</c:v>
                </c:pt>
                <c:pt idx="5">
                  <c:v>5.0999999999999996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B-484D-B0FF-660010F2B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041647"/>
        <c:axId val="545052207"/>
      </c:scatterChart>
      <c:valAx>
        <c:axId val="545041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Load Time (ms)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052207"/>
        <c:crosses val="autoZero"/>
        <c:crossBetween val="midCat"/>
      </c:valAx>
      <c:valAx>
        <c:axId val="545052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Engagement (min/session)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5041647"/>
        <c:crosses val="autoZero"/>
        <c:crossBetween val="midCat"/>
      </c:valAx>
      <c:spPr>
        <a:effectLst>
          <a:outerShdw blurRad="63500" dist="37357" dir="2700000" rotWithShape="0">
            <a:scrgbClr r="0" g="0" b="0"/>
          </a:outerShdw>
        </a:effectLst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8F9FA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Login!A1"/><Relationship Id="rId3" Type="http://schemas.openxmlformats.org/officeDocument/2006/relationships/hyperlink" Target="#Cart!A1"/><Relationship Id="rId7" Type="http://schemas.openxmlformats.org/officeDocument/2006/relationships/hyperlink" Target="#Home!A1"/><Relationship Id="rId2" Type="http://schemas.openxmlformats.org/officeDocument/2006/relationships/hyperlink" Target="#Navigation!A1"/><Relationship Id="rId1" Type="http://schemas.openxmlformats.org/officeDocument/2006/relationships/image" Target="../media/image2.jpeg"/><Relationship Id="rId6" Type="http://schemas.openxmlformats.org/officeDocument/2006/relationships/hyperlink" Target="#Complete!A1"/><Relationship Id="rId5" Type="http://schemas.openxmlformats.org/officeDocument/2006/relationships/hyperlink" Target="#Checkout2!A1"/><Relationship Id="rId4" Type="http://schemas.openxmlformats.org/officeDocument/2006/relationships/hyperlink" Target="#Checkout1!A1"/><Relationship Id="rId9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Sign in'!Print_Titles"/><Relationship Id="rId13" Type="http://schemas.openxmlformats.org/officeDocument/2006/relationships/hyperlink" Target="#Complete!A1"/><Relationship Id="rId3" Type="http://schemas.openxmlformats.org/officeDocument/2006/relationships/hyperlink" Target="#Order!Print_Titles"/><Relationship Id="rId7" Type="http://schemas.openxmlformats.org/officeDocument/2006/relationships/hyperlink" Target="#'Forgot Password'!Print_Titles"/><Relationship Id="rId12" Type="http://schemas.openxmlformats.org/officeDocument/2006/relationships/hyperlink" Target="#Checkout2!A1"/><Relationship Id="rId2" Type="http://schemas.openxmlformats.org/officeDocument/2006/relationships/hyperlink" Target="#'Home Page'!Print_Titles"/><Relationship Id="rId16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hyperlink" Target="#Discount!Print_Titles"/><Relationship Id="rId11" Type="http://schemas.openxmlformats.org/officeDocument/2006/relationships/hyperlink" Target="#Checkout1!A1"/><Relationship Id="rId5" Type="http://schemas.openxmlformats.org/officeDocument/2006/relationships/hyperlink" Target="#'Popular Menu'!Print_Titles"/><Relationship Id="rId15" Type="http://schemas.openxmlformats.org/officeDocument/2006/relationships/hyperlink" Target="#Login!A1"/><Relationship Id="rId10" Type="http://schemas.openxmlformats.org/officeDocument/2006/relationships/hyperlink" Target="#Cart!A1"/><Relationship Id="rId4" Type="http://schemas.openxmlformats.org/officeDocument/2006/relationships/hyperlink" Target="#Resturant!Print_Titles"/><Relationship Id="rId9" Type="http://schemas.openxmlformats.org/officeDocument/2006/relationships/hyperlink" Target="#Navigation!A1"/><Relationship Id="rId14" Type="http://schemas.openxmlformats.org/officeDocument/2006/relationships/hyperlink" Target="#Hom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jpe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3361</xdr:rowOff>
    </xdr:from>
    <xdr:to>
      <xdr:col>9</xdr:col>
      <xdr:colOff>1011570</xdr:colOff>
      <xdr:row>1</xdr:row>
      <xdr:rowOff>1600200</xdr:rowOff>
    </xdr:to>
    <xdr:pic>
      <xdr:nvPicPr>
        <xdr:cNvPr id="8" name="Picture 7" descr="Abstract Image" title="Banner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6882" y="171449"/>
          <a:ext cx="17170453" cy="1596839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12</xdr:col>
      <xdr:colOff>3362</xdr:colOff>
      <xdr:row>1</xdr:row>
      <xdr:rowOff>1581150</xdr:rowOff>
    </xdr:to>
    <xdr:sp macro="" textlink="">
      <xdr:nvSpPr>
        <xdr:cNvPr id="10" name="TextBox 1" descr="Sales Report" title="Titl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33081" y="19050"/>
          <a:ext cx="20344281" cy="1730188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32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Test_Case-Nader_Alzghoul</a:t>
          </a:r>
          <a:endParaRPr lang="en-US" sz="32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  <a:p>
          <a:pPr marL="0" algn="l"/>
          <a:r>
            <a:rPr lang="en-US" sz="3200">
              <a:solidFill>
                <a:schemeClr val="tx2">
                  <a:lumMod val="20000"/>
                  <a:lumOff val="80000"/>
                </a:schemeClr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11</xdr:col>
      <xdr:colOff>180975</xdr:colOff>
      <xdr:row>1</xdr:row>
      <xdr:rowOff>1819275</xdr:rowOff>
    </xdr:from>
    <xdr:ext cx="184731" cy="2522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9916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98" name="TextBox 9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99" name="TextBox 9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100" name="TextBox 9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101" name="TextBox 10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102" name="TextBox 10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3" name="TextBox 10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05" name="TextBox 10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1046019</xdr:colOff>
      <xdr:row>1</xdr:row>
      <xdr:rowOff>8923</xdr:rowOff>
    </xdr:from>
    <xdr:to>
      <xdr:col>5</xdr:col>
      <xdr:colOff>335108</xdr:colOff>
      <xdr:row>1</xdr:row>
      <xdr:rowOff>1594048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7B9FF4-FF88-21FE-B4AC-471BE5BA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1" y="182105"/>
          <a:ext cx="1228725" cy="158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1147482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49" name="TextBox 4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50" name="TextBox 4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Order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51" name="TextBox 5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52" name="TextBox 5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53" name="TextBox 5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54" name="TextBox 5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56" name="TextBox 5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19" name="TextBox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B6F8F62-2EF9-43A6-AFFC-71BF56DEC8B1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20" name="TextBox 1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1CB4594-B389-4D9F-990A-53C82AC86261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21" name="TextBox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97314F-6F18-42BD-A319-04EBED463B05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2" name="TextBox 2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1D47218-F0F2-4E68-850B-29764F523BD7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3" name="TextBox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24A22D2-0EB7-40E1-BDB2-CC22C7DFB63F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24" name="TextBox 2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4A81E78-F23F-4D8E-A677-77C91E2EE998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25" name="TextBox 2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999A474-22B8-4CE3-9A87-FAA8A9A692BC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1034142</xdr:colOff>
      <xdr:row>1</xdr:row>
      <xdr:rowOff>27215</xdr:rowOff>
    </xdr:from>
    <xdr:to>
      <xdr:col>5</xdr:col>
      <xdr:colOff>357867</xdr:colOff>
      <xdr:row>1</xdr:row>
      <xdr:rowOff>1612340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111CCFF-32D9-4C9F-8DCA-50A4A59B6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2428" y="204108"/>
          <a:ext cx="1228725" cy="1585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663068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25" name="TextBox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26" name="TextBox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27" name="TextBox 2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8" name="TextBox 2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9" name="TextBox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30" name="TextBox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32" name="TextBox 3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5" name="TextBox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6844725-7C45-4C56-AB15-F3B0C2833051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73FDBDA-3CB2-4BE1-9574-A90258E8EDDC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AE1E56B-651B-49FA-A81B-4A4020AC4A75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8" name="TextBox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D3298B-39DE-4838-86D4-8E777DDAF5C6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9" name="TextBox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635A7C4C-DB93-4E9F-A7F2-EF9E263E65FF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" name="TextBox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4795CC6-557E-4226-8BEF-C70BCB86DCD8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1" name="TextBox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1F35388-18FD-4E17-BFDD-175759E1DC5D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1047750</xdr:colOff>
      <xdr:row>1</xdr:row>
      <xdr:rowOff>27214</xdr:rowOff>
    </xdr:from>
    <xdr:to>
      <xdr:col>5</xdr:col>
      <xdr:colOff>262618</xdr:colOff>
      <xdr:row>1</xdr:row>
      <xdr:rowOff>1612339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CFD8999-1D20-4B8E-91F5-D06069D65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036" y="204107"/>
          <a:ext cx="1228725" cy="1585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234443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17" name="TextBox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18" name="TextBox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Order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19" name="TextBox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0" name="TextBox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1" name="TextBox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22" name="TextBox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24" name="TextBox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5" name="TextBox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E20A83D-2D78-43CA-997E-224D3607800E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97B068A-BA2C-4A74-A4D2-FDB756485FDC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B311DF2-AFCD-46E2-9ACF-D2BA3613F091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8" name="TextBox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4C375F1-FBC8-4919-8CA9-ECF9BC38CCA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9" name="TextBox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2D545CA-678F-460B-90F6-719AE60A514C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" name="TextBox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1C8C873-BB06-4F4F-85E6-074A3B226464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1" name="TextBox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F11D851-49F0-4AE4-BA22-5B23794B6BE7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1047750</xdr:colOff>
      <xdr:row>1</xdr:row>
      <xdr:rowOff>0</xdr:rowOff>
    </xdr:from>
    <xdr:to>
      <xdr:col>5</xdr:col>
      <xdr:colOff>371475</xdr:colOff>
      <xdr:row>1</xdr:row>
      <xdr:rowOff>1585125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7D982C-6ED8-4398-B517-61E9A33FB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6036" y="176893"/>
          <a:ext cx="1228725" cy="15851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329693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17" name="TextBox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18" name="TextBox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Order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19" name="TextBox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0" name="TextBox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1" name="TextBox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22" name="TextBox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24" name="TextBox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5" name="TextBox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FD94B05-5412-405E-A866-138EF360EDB9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9A2A937-4AE7-4E81-A629-2F72D24ACCF4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AE73F93-D49E-4C75-8A42-AD877A95A1CD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8" name="TextBox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4225F91-AB7B-4CCE-8197-AAC8AB3AEAAB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9" name="TextBox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B58A343-9374-49D5-9311-C549A7057457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" name="TextBox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D45B83B-5664-4ACA-85BE-BDF2B5D2384D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1" name="TextBox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1154E768-7391-487F-807A-688946F51D47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1020536</xdr:colOff>
      <xdr:row>1</xdr:row>
      <xdr:rowOff>0</xdr:rowOff>
    </xdr:from>
    <xdr:to>
      <xdr:col>5</xdr:col>
      <xdr:colOff>344261</xdr:colOff>
      <xdr:row>1</xdr:row>
      <xdr:rowOff>1585125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0964EC-C617-4440-AE00-A722D018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8822" y="176893"/>
          <a:ext cx="1228725" cy="1585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57550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17" name="TextBox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18" name="TextBox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Order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19" name="TextBox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0" name="TextBox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1" name="TextBox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22" name="TextBox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24" name="TextBox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5" name="TextBox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8FEEDDA-71B3-48C9-A47C-2D9E1144757C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FBEF8D-9BED-4F60-9805-56B3D070EA09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582B7F8-F558-4678-8CB9-1C286BF4096F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8" name="TextBox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8395412-5378-48BF-8BD2-B0A1AA9103F2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9" name="TextBox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DEBF93F-6613-4E43-A9D5-F96FBA89A506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" name="TextBox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A2C0970-06A7-4532-AF6D-712305B9D1AD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1" name="TextBox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386AB46-DE74-4D27-8194-AC62FC4301E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1020536</xdr:colOff>
      <xdr:row>1</xdr:row>
      <xdr:rowOff>27214</xdr:rowOff>
    </xdr:from>
    <xdr:to>
      <xdr:col>5</xdr:col>
      <xdr:colOff>344261</xdr:colOff>
      <xdr:row>1</xdr:row>
      <xdr:rowOff>1612339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70D04BF-82D9-49DE-8752-A38A2467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8822" y="204107"/>
          <a:ext cx="1228725" cy="1585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171449</xdr:rowOff>
    </xdr:from>
    <xdr:to>
      <xdr:col>10</xdr:col>
      <xdr:colOff>343300</xdr:colOff>
      <xdr:row>1</xdr:row>
      <xdr:rowOff>1600200</xdr:rowOff>
    </xdr:to>
    <xdr:pic>
      <xdr:nvPicPr>
        <xdr:cNvPr id="2" name="Picture 1" descr="Abstract Image" title="Banne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255"/>
        <a:stretch/>
      </xdr:blipFill>
      <xdr:spPr>
        <a:xfrm>
          <a:off x="152400" y="171449"/>
          <a:ext cx="17164050" cy="1600201"/>
        </a:xfrm>
        <a:prstGeom prst="rect">
          <a:avLst/>
        </a:prstGeom>
      </xdr:spPr>
    </xdr:pic>
    <xdr:clientData/>
  </xdr:twoCellAnchor>
  <xdr:twoCellAnchor>
    <xdr:from>
      <xdr:col>1</xdr:col>
      <xdr:colOff>76199</xdr:colOff>
      <xdr:row>0</xdr:row>
      <xdr:rowOff>19050</xdr:rowOff>
    </xdr:from>
    <xdr:to>
      <xdr:col>9</xdr:col>
      <xdr:colOff>1866900</xdr:colOff>
      <xdr:row>1</xdr:row>
      <xdr:rowOff>1581150</xdr:rowOff>
    </xdr:to>
    <xdr:sp macro="" textlink="">
      <xdr:nvSpPr>
        <xdr:cNvPr id="3" name="TextBox 1" descr="Sales Report" title="Titl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28599" y="19050"/>
          <a:ext cx="17040226" cy="1733550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Test_Case-Nader_Alzghoul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1F497D">
                  <a:lumMod val="20000"/>
                  <a:lumOff val="80000"/>
                </a:srgbClr>
              </a:solidFill>
              <a:effectLst/>
              <a:uLnTx/>
              <a:uFillTx/>
              <a:latin typeface="AmmanV3 Sans Bold" panose="02000000000000000000" pitchFamily="50" charset="-78"/>
              <a:ea typeface="+mn-ea"/>
              <a:cs typeface="AmmanV3 Sans Bold" panose="02000000000000000000" pitchFamily="50" charset="-78"/>
            </a:rPr>
            <a:t>Shalwa Automation Project (SAP)</a:t>
          </a:r>
        </a:p>
      </xdr:txBody>
    </xdr:sp>
    <xdr:clientData/>
  </xdr:twoCellAnchor>
  <xdr:oneCellAnchor>
    <xdr:from>
      <xdr:col>9</xdr:col>
      <xdr:colOff>180975</xdr:colOff>
      <xdr:row>1</xdr:row>
      <xdr:rowOff>1819275</xdr:rowOff>
    </xdr:from>
    <xdr:ext cx="184731" cy="25224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15582900" y="1990725"/>
          <a:ext cx="184731" cy="2522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17" name="TextBox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 Page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18" name="TextBox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Order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19" name="TextBox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Resturant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20" name="TextBox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Pop-Menu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21" name="TextBox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Discount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22" name="TextBox 2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82486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Forgot</a:t>
          </a:r>
          <a:r>
            <a:rPr lang="en-US" sz="1600" baseline="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-Pass</a:t>
          </a:r>
          <a:endParaRPr lang="en-US" sz="1600">
            <a:solidFill>
              <a:schemeClr val="bg1"/>
            </a:solidFill>
            <a:latin typeface="AmmanV3 Sans Bold" panose="02000000000000000000" pitchFamily="50" charset="-78"/>
            <a:cs typeface="AmmanV3 Sans Bold" panose="02000000000000000000" pitchFamily="50" charset="-78"/>
          </a:endParaRP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24" name="TextBox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Sign in</a:t>
          </a:r>
        </a:p>
      </xdr:txBody>
    </xdr:sp>
    <xdr:clientData/>
  </xdr:oneCellAnchor>
  <xdr:oneCellAnchor>
    <xdr:from>
      <xdr:col>1</xdr:col>
      <xdr:colOff>1333500</xdr:colOff>
      <xdr:row>1</xdr:row>
      <xdr:rowOff>1696931</xdr:rowOff>
    </xdr:from>
    <xdr:ext cx="1249083" cy="373244"/>
    <xdr:sp macro="" textlink="">
      <xdr:nvSpPr>
        <xdr:cNvPr id="5" name="TextBox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5FC27C5-56D8-4947-AB84-DD9D3C7A9DD1}"/>
            </a:ext>
          </a:extLst>
        </xdr:cNvPr>
        <xdr:cNvSpPr txBox="1"/>
      </xdr:nvSpPr>
      <xdr:spPr>
        <a:xfrm>
          <a:off x="14859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Navigation</a:t>
          </a:r>
        </a:p>
      </xdr:txBody>
    </xdr:sp>
    <xdr:clientData/>
  </xdr:oneCellAnchor>
  <xdr:oneCellAnchor>
    <xdr:from>
      <xdr:col>2</xdr:col>
      <xdr:colOff>771525</xdr:colOff>
      <xdr:row>1</xdr:row>
      <xdr:rowOff>1696931</xdr:rowOff>
    </xdr:from>
    <xdr:ext cx="1249083" cy="373244"/>
    <xdr:sp macro="" textlink="">
      <xdr:nvSpPr>
        <xdr:cNvPr id="6" name="TextBox 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64FB575-7182-4BF7-BA2D-C894485A6703}"/>
            </a:ext>
          </a:extLst>
        </xdr:cNvPr>
        <xdr:cNvSpPr txBox="1"/>
      </xdr:nvSpPr>
      <xdr:spPr>
        <a:xfrm>
          <a:off x="28384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Cart</a:t>
          </a:r>
        </a:p>
      </xdr:txBody>
    </xdr:sp>
    <xdr:clientData/>
  </xdr:oneCellAnchor>
  <xdr:oneCellAnchor>
    <xdr:from>
      <xdr:col>3</xdr:col>
      <xdr:colOff>219075</xdr:colOff>
      <xdr:row>1</xdr:row>
      <xdr:rowOff>1696931</xdr:rowOff>
    </xdr:from>
    <xdr:ext cx="1249083" cy="373244"/>
    <xdr:sp macro="" textlink="">
      <xdr:nvSpPr>
        <xdr:cNvPr id="7" name="TextBox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28B3E7D-37AC-4C16-8046-579B23FE7323}"/>
            </a:ext>
          </a:extLst>
        </xdr:cNvPr>
        <xdr:cNvSpPr txBox="1"/>
      </xdr:nvSpPr>
      <xdr:spPr>
        <a:xfrm>
          <a:off x="41910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Checkout1</a:t>
          </a:r>
        </a:p>
      </xdr:txBody>
    </xdr:sp>
    <xdr:clientData/>
  </xdr:oneCellAnchor>
  <xdr:oneCellAnchor>
    <xdr:from>
      <xdr:col>3</xdr:col>
      <xdr:colOff>1571625</xdr:colOff>
      <xdr:row>1</xdr:row>
      <xdr:rowOff>1696931</xdr:rowOff>
    </xdr:from>
    <xdr:ext cx="1249083" cy="373244"/>
    <xdr:sp macro="" textlink="">
      <xdr:nvSpPr>
        <xdr:cNvPr id="8" name="TextBox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F1D832-C1DE-46B3-B6CB-5B425D81FA8A}"/>
            </a:ext>
          </a:extLst>
        </xdr:cNvPr>
        <xdr:cNvSpPr txBox="1"/>
      </xdr:nvSpPr>
      <xdr:spPr>
        <a:xfrm>
          <a:off x="55435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Checkout2</a:t>
          </a:r>
        </a:p>
      </xdr:txBody>
    </xdr:sp>
    <xdr:clientData/>
  </xdr:oneCellAnchor>
  <xdr:oneCellAnchor>
    <xdr:from>
      <xdr:col>4</xdr:col>
      <xdr:colOff>1019175</xdr:colOff>
      <xdr:row>1</xdr:row>
      <xdr:rowOff>1696931</xdr:rowOff>
    </xdr:from>
    <xdr:ext cx="1249083" cy="373244"/>
    <xdr:sp macro="" textlink="">
      <xdr:nvSpPr>
        <xdr:cNvPr id="9" name="TextBox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A5805AA-6B3A-4968-9EB8-4917486CB913}"/>
            </a:ext>
          </a:extLst>
        </xdr:cNvPr>
        <xdr:cNvSpPr txBox="1"/>
      </xdr:nvSpPr>
      <xdr:spPr>
        <a:xfrm>
          <a:off x="689610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Complete</a:t>
          </a:r>
        </a:p>
      </xdr:txBody>
    </xdr:sp>
    <xdr:clientData/>
  </xdr:oneCellAnchor>
  <xdr:oneCellAnchor>
    <xdr:from>
      <xdr:col>5</xdr:col>
      <xdr:colOff>466725</xdr:colOff>
      <xdr:row>1</xdr:row>
      <xdr:rowOff>1696931</xdr:rowOff>
    </xdr:from>
    <xdr:ext cx="1249083" cy="373244"/>
    <xdr:sp macro="" textlink="">
      <xdr:nvSpPr>
        <xdr:cNvPr id="10" name="TextBox 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298DF6-BBD0-4AAD-8C10-4CAC29FFC400}"/>
            </a:ext>
          </a:extLst>
        </xdr:cNvPr>
        <xdr:cNvSpPr txBox="1"/>
      </xdr:nvSpPr>
      <xdr:spPr>
        <a:xfrm>
          <a:off x="8286750" y="1868381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Home</a:t>
          </a:r>
        </a:p>
      </xdr:txBody>
    </xdr:sp>
    <xdr:clientData/>
  </xdr:oneCellAnchor>
  <xdr:oneCellAnchor>
    <xdr:from>
      <xdr:col>1</xdr:col>
      <xdr:colOff>0</xdr:colOff>
      <xdr:row>1</xdr:row>
      <xdr:rowOff>1695450</xdr:rowOff>
    </xdr:from>
    <xdr:ext cx="1249083" cy="373244"/>
    <xdr:sp macro="" textlink="">
      <xdr:nvSpPr>
        <xdr:cNvPr id="11" name="TextBox 10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01A6634-0AFE-4C8A-ABDD-11EEC24386E1}"/>
            </a:ext>
          </a:extLst>
        </xdr:cNvPr>
        <xdr:cNvSpPr txBox="1"/>
      </xdr:nvSpPr>
      <xdr:spPr>
        <a:xfrm>
          <a:off x="152400" y="1866900"/>
          <a:ext cx="1249083" cy="373244"/>
        </a:xfrm>
        <a:prstGeom prst="rect">
          <a:avLst/>
        </a:prstGeom>
        <a:solidFill>
          <a:schemeClr val="tx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600">
              <a:solidFill>
                <a:schemeClr val="bg1"/>
              </a:solidFill>
              <a:latin typeface="AmmanV3 Sans Bold" panose="02000000000000000000" pitchFamily="50" charset="-78"/>
              <a:cs typeface="AmmanV3 Sans Bold" panose="02000000000000000000" pitchFamily="50" charset="-78"/>
            </a:rPr>
            <a:t>Login</a:t>
          </a:r>
        </a:p>
      </xdr:txBody>
    </xdr:sp>
    <xdr:clientData/>
  </xdr:oneCellAnchor>
  <xdr:twoCellAnchor editAs="oneCell">
    <xdr:from>
      <xdr:col>4</xdr:col>
      <xdr:colOff>1034143</xdr:colOff>
      <xdr:row>1</xdr:row>
      <xdr:rowOff>27214</xdr:rowOff>
    </xdr:from>
    <xdr:to>
      <xdr:col>5</xdr:col>
      <xdr:colOff>357868</xdr:colOff>
      <xdr:row>1</xdr:row>
      <xdr:rowOff>1612339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AD2735D-8E69-40B4-B36B-A0D1B595A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2429" y="204107"/>
          <a:ext cx="1228725" cy="1585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53975</xdr:rowOff>
    </xdr:from>
    <xdr:to>
      <xdr:col>7</xdr:col>
      <xdr:colOff>254000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4175F-E71F-3FEA-9B63-FD41B3B13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1</xdr:row>
      <xdr:rowOff>53975</xdr:rowOff>
    </xdr:from>
    <xdr:to>
      <xdr:col>16</xdr:col>
      <xdr:colOff>254000</xdr:colOff>
      <xdr:row>20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8CC9C-BD0A-043D-F58D-4DF1D1C75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254000</xdr:colOff>
      <xdr:row>21</xdr:row>
      <xdr:rowOff>117475</xdr:rowOff>
    </xdr:from>
    <xdr:to>
      <xdr:col>10</xdr:col>
      <xdr:colOff>508000</xdr:colOff>
      <xdr:row>41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953101-A584-1AB5-2523-73B073B61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21</xdr:row>
      <xdr:rowOff>117475</xdr:rowOff>
    </xdr:from>
    <xdr:to>
      <xdr:col>16</xdr:col>
      <xdr:colOff>254000</xdr:colOff>
      <xdr:row>41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90A7DA-92A6-7380-5319-39474E19A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728382</xdr:colOff>
      <xdr:row>17</xdr:row>
      <xdr:rowOff>100853</xdr:rowOff>
    </xdr:from>
    <xdr:to>
      <xdr:col>18</xdr:col>
      <xdr:colOff>433107</xdr:colOff>
      <xdr:row>25</xdr:row>
      <xdr:rowOff>72331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E44DB8-4FFD-4DF4-8D1C-48A3E54B2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20382" y="3529853"/>
          <a:ext cx="1228725" cy="15851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SalesData" displayName="Table_SalesData" ref="B11:M30" totalsRowShown="0" headerRowDxfId="79" dataDxfId="65" tableBorderDxfId="78">
  <tableColumns count="12">
    <tableColumn id="9" xr3:uid="{00000000-0010-0000-0000-000009000000}" name="Order" dataDxfId="64">
      <calculatedColumnFormula>B12+1</calculatedColumnFormula>
    </tableColumn>
    <tableColumn id="8" xr3:uid="{00000000-0010-0000-0000-000008000000}" name="Test Case ID" dataDxfId="63"/>
    <tableColumn id="1" xr3:uid="{00000000-0010-0000-0000-000001000000}" name="Test Case Senario" dataDxfId="62"/>
    <tableColumn id="2" xr3:uid="{00000000-0010-0000-0000-000002000000}" name="Test Case" dataDxfId="61"/>
    <tableColumn id="3" xr3:uid="{00000000-0010-0000-0000-000003000000}" name="Pre-Conditions" dataDxfId="60"/>
    <tableColumn id="4" xr3:uid="{00000000-0010-0000-0000-000004000000}" name="Test Steps" dataDxfId="59"/>
    <tableColumn id="5" xr3:uid="{00000000-0010-0000-0000-000005000000}" name="Test Data" dataDxfId="58"/>
    <tableColumn id="6" xr3:uid="{00000000-0010-0000-0000-000006000000}" name="Expected Results" dataDxfId="57"/>
    <tableColumn id="14" xr3:uid="{00000000-0010-0000-0000-00000E000000}" name="Post Conditions" dataDxfId="56"/>
    <tableColumn id="13" xr3:uid="{00000000-0010-0000-0000-00000D000000}" name="Actual Result" dataDxfId="55"/>
    <tableColumn id="7" xr3:uid="{00000000-0010-0000-0000-000007000000}" name="Status" dataDxfId="54"/>
    <tableColumn id="10" xr3:uid="{8CF8C8B4-94B7-4359-A192-99D747D94FA1}" name="Shalwa Approved" dataDxfId="53"/>
  </tableColumns>
  <tableStyleInfo name="Business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SalesData2" displayName="Table_SalesData2" ref="B11:M30" totalsRowShown="0" headerRowDxfId="104" dataDxfId="40" tableBorderDxfId="103">
  <tableColumns count="12">
    <tableColumn id="9" xr3:uid="{00000000-0010-0000-0100-000009000000}" name="Order" dataDxfId="52"/>
    <tableColumn id="8" xr3:uid="{00000000-0010-0000-0100-000008000000}" name="Test Case ID" dataDxfId="51"/>
    <tableColumn id="1" xr3:uid="{00000000-0010-0000-0100-000001000000}" name="Test Case Senario" dataDxfId="50"/>
    <tableColumn id="2" xr3:uid="{00000000-0010-0000-0100-000002000000}" name="Test Case" dataDxfId="49"/>
    <tableColumn id="3" xr3:uid="{00000000-0010-0000-0100-000003000000}" name="Pre-Conditions" dataDxfId="48"/>
    <tableColumn id="4" xr3:uid="{00000000-0010-0000-0100-000004000000}" name="Test Steps" dataDxfId="47"/>
    <tableColumn id="5" xr3:uid="{00000000-0010-0000-0100-000005000000}" name="Test Data" dataDxfId="46"/>
    <tableColumn id="6" xr3:uid="{00000000-0010-0000-0100-000006000000}" name="Expected Results" dataDxfId="45"/>
    <tableColumn id="7" xr3:uid="{00000000-0010-0000-0100-000007000000}" name="Post Conditions" dataDxfId="44"/>
    <tableColumn id="10" xr3:uid="{00000000-0010-0000-0100-00000A000000}" name="Actual Result" dataDxfId="43"/>
    <tableColumn id="11" xr3:uid="{00000000-0010-0000-0100-00000B000000}" name="Status" dataDxfId="42"/>
    <tableColumn id="12" xr3:uid="{EF31E668-2EBC-45AB-BCF7-598A13CCE7DC}" name="Shalwa Approved" dataDxfId="41"/>
  </tableColumns>
  <tableStyleInfo name="Business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alesData24" displayName="Table_SalesData24" ref="B11:M30" totalsRowShown="0" headerRowDxfId="102" dataDxfId="27" tableBorderDxfId="101">
  <tableColumns count="12">
    <tableColumn id="9" xr3:uid="{00000000-0010-0000-0200-000009000000}" name="Order" dataDxfId="39"/>
    <tableColumn id="8" xr3:uid="{00000000-0010-0000-0200-000008000000}" name="Test Case ID" dataDxfId="38"/>
    <tableColumn id="1" xr3:uid="{00000000-0010-0000-0200-000001000000}" name="Test Case Senario" dataDxfId="37"/>
    <tableColumn id="2" xr3:uid="{00000000-0010-0000-0200-000002000000}" name="Test Case" dataDxfId="36"/>
    <tableColumn id="3" xr3:uid="{00000000-0010-0000-0200-000003000000}" name="Pre-Conditions" dataDxfId="35"/>
    <tableColumn id="4" xr3:uid="{00000000-0010-0000-0200-000004000000}" name="Test Steps" dataDxfId="34"/>
    <tableColumn id="5" xr3:uid="{00000000-0010-0000-0200-000005000000}" name="Test Data" dataDxfId="33"/>
    <tableColumn id="6" xr3:uid="{00000000-0010-0000-0200-000006000000}" name="Expected Results" dataDxfId="32"/>
    <tableColumn id="7" xr3:uid="{00000000-0010-0000-0200-000007000000}" name="Post Conditions" dataDxfId="31"/>
    <tableColumn id="10" xr3:uid="{00000000-0010-0000-0200-00000A000000}" name="Actual Result" dataDxfId="30"/>
    <tableColumn id="11" xr3:uid="{00000000-0010-0000-0200-00000B000000}" name="Status" dataDxfId="29"/>
    <tableColumn id="12" xr3:uid="{74DB8F08-837C-4001-B448-0A632549DCC3}" name="Shalwa Approved" dataDxfId="28"/>
  </tableColumns>
  <tableStyleInfo name="Business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SalesData5" displayName="Table_SalesData5" ref="B11:M30" totalsRowShown="0" headerRowDxfId="100" dataDxfId="99" tableBorderDxfId="98">
  <tableColumns count="12">
    <tableColumn id="9" xr3:uid="{00000000-0010-0000-0300-000009000000}" name="Order" dataDxfId="77"/>
    <tableColumn id="8" xr3:uid="{00000000-0010-0000-0300-000008000000}" name="Test Case ID" dataDxfId="76"/>
    <tableColumn id="1" xr3:uid="{00000000-0010-0000-0300-000001000000}" name="Test Case Senario" dataDxfId="75"/>
    <tableColumn id="2" xr3:uid="{00000000-0010-0000-0300-000002000000}" name="Test Case" dataDxfId="74"/>
    <tableColumn id="3" xr3:uid="{00000000-0010-0000-0300-000003000000}" name="Pre-Conditions" dataDxfId="73"/>
    <tableColumn id="4" xr3:uid="{00000000-0010-0000-0300-000004000000}" name="Test Steps" dataDxfId="72"/>
    <tableColumn id="5" xr3:uid="{00000000-0010-0000-0300-000005000000}" name="Test Data" dataDxfId="71"/>
    <tableColumn id="6" xr3:uid="{00000000-0010-0000-0300-000006000000}" name="Expected Results" dataDxfId="70"/>
    <tableColumn id="7" xr3:uid="{00000000-0010-0000-0300-000007000000}" name="Post Conditions" dataDxfId="69"/>
    <tableColumn id="10" xr3:uid="{00000000-0010-0000-0300-00000A000000}" name="Actual Result" dataDxfId="68"/>
    <tableColumn id="11" xr3:uid="{00000000-0010-0000-0300-00000B000000}" name="Status" dataDxfId="67"/>
    <tableColumn id="12" xr3:uid="{FDB364DD-7802-42AB-9FA5-FA3318F74615}" name="Shalwa Approved" dataDxfId="66"/>
  </tableColumns>
  <tableStyleInfo name="Business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SalesData56" displayName="Table_SalesData56" ref="B11:M30" totalsRowShown="0" headerRowDxfId="97" dataDxfId="14" tableBorderDxfId="96">
  <tableColumns count="12">
    <tableColumn id="9" xr3:uid="{00000000-0010-0000-0400-000009000000}" name="Order" dataDxfId="26"/>
    <tableColumn id="8" xr3:uid="{00000000-0010-0000-0400-000008000000}" name="Test Case ID" dataDxfId="25"/>
    <tableColumn id="1" xr3:uid="{00000000-0010-0000-0400-000001000000}" name="Test Case Senario" dataDxfId="24"/>
    <tableColumn id="2" xr3:uid="{00000000-0010-0000-0400-000002000000}" name="Test Case" dataDxfId="23"/>
    <tableColumn id="3" xr3:uid="{00000000-0010-0000-0400-000003000000}" name="Pre-Conditions" dataDxfId="22"/>
    <tableColumn id="4" xr3:uid="{00000000-0010-0000-0400-000004000000}" name="Test Steps" dataDxfId="21"/>
    <tableColumn id="5" xr3:uid="{00000000-0010-0000-0400-000005000000}" name="Test Data" dataDxfId="20"/>
    <tableColumn id="6" xr3:uid="{00000000-0010-0000-0400-000006000000}" name="Expected Results" dataDxfId="19"/>
    <tableColumn id="7" xr3:uid="{00000000-0010-0000-0400-000007000000}" name="Post Conditions" dataDxfId="18"/>
    <tableColumn id="10" xr3:uid="{00000000-0010-0000-0400-00000A000000}" name="Actual Result" dataDxfId="17"/>
    <tableColumn id="11" xr3:uid="{00000000-0010-0000-0400-00000B000000}" name="Status" dataDxfId="16"/>
    <tableColumn id="12" xr3:uid="{D66681C8-B2EA-4A48-A231-EFC0B6F68EA7}" name="Shalwa Approved" dataDxfId="15"/>
  </tableColumns>
  <tableStyleInfo name="Business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SalesData567" displayName="Table_SalesData567" ref="B11:M30" totalsRowShown="0" headerRowDxfId="95" dataDxfId="1" tableBorderDxfId="94">
  <tableColumns count="12">
    <tableColumn id="9" xr3:uid="{00000000-0010-0000-0500-000009000000}" name="Order" dataDxfId="13"/>
    <tableColumn id="8" xr3:uid="{00000000-0010-0000-0500-000008000000}" name="Test Case ID" dataDxfId="12"/>
    <tableColumn id="1" xr3:uid="{00000000-0010-0000-0500-000001000000}" name="Test Case Senario" dataDxfId="11"/>
    <tableColumn id="2" xr3:uid="{00000000-0010-0000-0500-000002000000}" name="Test Case" dataDxfId="10"/>
    <tableColumn id="3" xr3:uid="{00000000-0010-0000-0500-000003000000}" name="Pre-Conditions" dataDxfId="9"/>
    <tableColumn id="4" xr3:uid="{00000000-0010-0000-0500-000004000000}" name="Test Steps" dataDxfId="8"/>
    <tableColumn id="5" xr3:uid="{00000000-0010-0000-0500-000005000000}" name="Test Data" dataDxfId="7"/>
    <tableColumn id="6" xr3:uid="{00000000-0010-0000-0500-000006000000}" name="Expected Results" dataDxfId="6"/>
    <tableColumn id="7" xr3:uid="{00000000-0010-0000-0500-000007000000}" name="Post Conditions" dataDxfId="5"/>
    <tableColumn id="10" xr3:uid="{00000000-0010-0000-0500-00000A000000}" name="Actual Result" dataDxfId="4"/>
    <tableColumn id="11" xr3:uid="{00000000-0010-0000-0500-00000B000000}" name="Status" dataDxfId="3"/>
    <tableColumn id="12" xr3:uid="{7C6A06DC-61DF-40CA-B5B6-16E99B29E3C3}" name="Shalwa Approved" dataDxfId="2"/>
  </tableColumns>
  <tableStyleInfo name="Business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SalesData5678" displayName="Table_SalesData5678" ref="B11:M30" totalsRowShown="0" headerRowDxfId="93" dataDxfId="92" tableBorderDxfId="91">
  <tableColumns count="12">
    <tableColumn id="9" xr3:uid="{00000000-0010-0000-0600-000009000000}" name="Order" dataDxfId="90"/>
    <tableColumn id="8" xr3:uid="{00000000-0010-0000-0600-000008000000}" name="Test Case ID" dataDxfId="89"/>
    <tableColumn id="1" xr3:uid="{00000000-0010-0000-0600-000001000000}" name="Test Case Senario" dataDxfId="88"/>
    <tableColumn id="2" xr3:uid="{00000000-0010-0000-0600-000002000000}" name="Test Case" dataDxfId="87"/>
    <tableColumn id="3" xr3:uid="{00000000-0010-0000-0600-000003000000}" name="Pre-Conditions" dataDxfId="86"/>
    <tableColumn id="4" xr3:uid="{00000000-0010-0000-0600-000004000000}" name="Test Steps" dataDxfId="85"/>
    <tableColumn id="5" xr3:uid="{00000000-0010-0000-0600-000005000000}" name="Test Data" dataDxfId="84"/>
    <tableColumn id="6" xr3:uid="{00000000-0010-0000-0600-000006000000}" name="Expected Results" dataDxfId="83"/>
    <tableColumn id="7" xr3:uid="{00000000-0010-0000-0600-000007000000}" name="Post Conditions" dataDxfId="82"/>
    <tableColumn id="10" xr3:uid="{00000000-0010-0000-0600-00000A000000}" name="Actual Result" dataDxfId="81"/>
    <tableColumn id="11" xr3:uid="{00000000-0010-0000-0600-00000B000000}" name="Status" dataDxfId="80"/>
    <tableColumn id="12" xr3:uid="{2004A8A7-760F-4CAA-8E00-AA01B3C92089}" name="Shalwa Approved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saucelabs" TargetMode="External"/><Relationship Id="rId2" Type="http://schemas.openxmlformats.org/officeDocument/2006/relationships/hyperlink" Target="https://x.com/saucelabs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saucedemo.com/" TargetMode="Externa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32"/>
  <sheetViews>
    <sheetView showGridLines="0" tabSelected="1" zoomScale="55" zoomScaleNormal="55" workbookViewId="0">
      <pane ySplit="2" topLeftCell="A6" activePane="bottomLeft" state="frozen"/>
      <selection activeCell="C31" sqref="C31"/>
      <selection pane="bottomLeft" activeCell="T16" sqref="T16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4" width="22.21875" style="1" customWidth="1"/>
    <col min="5" max="5" width="22.6640625" style="1" customWidth="1"/>
    <col min="6" max="7" width="22.21875" style="1" customWidth="1"/>
    <col min="8" max="8" width="22.77734375" style="1" customWidth="1"/>
    <col min="9" max="9" width="31.88671875" style="1" customWidth="1"/>
    <col min="10" max="10" width="18.44140625" style="1" customWidth="1"/>
    <col min="11" max="11" width="15.88671875" style="1" customWidth="1"/>
    <col min="12" max="12" width="15.33203125" style="1" customWidth="1"/>
    <col min="13" max="13" width="13.7773437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20.100000000000001" customHeight="1" x14ac:dyDescent="0.3">
      <c r="A3" s="24"/>
      <c r="B3" s="16" t="s">
        <v>9</v>
      </c>
      <c r="C3" s="14" t="s">
        <v>22</v>
      </c>
      <c r="D3" s="25"/>
      <c r="E3" s="25"/>
      <c r="F3" s="25"/>
      <c r="G3" s="25"/>
      <c r="H3" s="25"/>
      <c r="I3" s="25"/>
      <c r="J3" s="25"/>
      <c r="K3" s="25"/>
      <c r="L3" s="25"/>
      <c r="M3" s="26"/>
    </row>
    <row r="4" spans="1:13" ht="20.100000000000001" customHeight="1" x14ac:dyDescent="0.3">
      <c r="A4" s="24"/>
      <c r="B4" s="17"/>
      <c r="C4" s="15"/>
      <c r="D4" s="25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24"/>
      <c r="B5" s="2" t="s">
        <v>10</v>
      </c>
      <c r="C5" s="3" t="s">
        <v>21</v>
      </c>
      <c r="D5" s="25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24"/>
      <c r="B6" s="4" t="s">
        <v>11</v>
      </c>
      <c r="C6" s="13" t="s">
        <v>20</v>
      </c>
      <c r="D6" s="25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24"/>
      <c r="B7" s="5" t="s">
        <v>12</v>
      </c>
      <c r="C7" s="8" t="s">
        <v>15</v>
      </c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24"/>
      <c r="B8" s="4" t="s">
        <v>13</v>
      </c>
      <c r="C8" s="9">
        <f>DATE(2025,12,1)</f>
        <v>45992</v>
      </c>
      <c r="D8" s="25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24"/>
      <c r="B9" s="6" t="s">
        <v>14</v>
      </c>
      <c r="C9" s="10">
        <f>DATE(2025,12,3)</f>
        <v>45994</v>
      </c>
      <c r="D9" s="25"/>
      <c r="E9" s="25"/>
      <c r="F9" s="25"/>
      <c r="G9" s="25"/>
      <c r="H9" s="25"/>
      <c r="I9" s="25"/>
      <c r="J9" s="25"/>
      <c r="K9" s="25"/>
      <c r="L9" s="25"/>
      <c r="M9" s="26"/>
    </row>
    <row r="10" spans="1:13" ht="20.100000000000001" customHeight="1" x14ac:dyDescent="0.3">
      <c r="A10" s="24"/>
      <c r="B10" s="27"/>
      <c r="C10" s="27"/>
      <c r="D10" s="25"/>
      <c r="E10" s="25"/>
      <c r="F10" s="25"/>
      <c r="G10" s="25"/>
      <c r="H10" s="25"/>
      <c r="I10" s="25"/>
      <c r="J10" s="25"/>
      <c r="K10" s="25"/>
      <c r="L10" s="25"/>
      <c r="M10" s="26"/>
    </row>
    <row r="11" spans="1:13" ht="45" x14ac:dyDescent="0.3">
      <c r="A11" s="24"/>
      <c r="B11" s="28" t="s">
        <v>1</v>
      </c>
      <c r="C11" s="28" t="s">
        <v>2</v>
      </c>
      <c r="D11" s="29" t="s">
        <v>3</v>
      </c>
      <c r="E11" s="29" t="s">
        <v>4</v>
      </c>
      <c r="F11" s="29" t="s">
        <v>5</v>
      </c>
      <c r="G11" s="29" t="s">
        <v>6</v>
      </c>
      <c r="H11" s="29" t="s">
        <v>7</v>
      </c>
      <c r="I11" s="29" t="s">
        <v>8</v>
      </c>
      <c r="J11" s="29" t="s">
        <v>16</v>
      </c>
      <c r="K11" s="29" t="s">
        <v>17</v>
      </c>
      <c r="L11" s="29" t="s">
        <v>18</v>
      </c>
      <c r="M11" s="29" t="s">
        <v>218</v>
      </c>
    </row>
    <row r="12" spans="1:13" ht="63" x14ac:dyDescent="0.3">
      <c r="A12" s="24"/>
      <c r="B12" s="57">
        <v>1</v>
      </c>
      <c r="C12" s="57" t="s">
        <v>23</v>
      </c>
      <c r="D12" s="57" t="s">
        <v>24</v>
      </c>
      <c r="E12" s="57" t="s">
        <v>25</v>
      </c>
      <c r="F12" s="57" t="s">
        <v>26</v>
      </c>
      <c r="G12" s="57" t="s">
        <v>27</v>
      </c>
      <c r="H12" s="57" t="s">
        <v>28</v>
      </c>
      <c r="I12" s="57" t="s">
        <v>29</v>
      </c>
      <c r="J12" s="57" t="s">
        <v>30</v>
      </c>
      <c r="K12" s="57" t="s">
        <v>183</v>
      </c>
      <c r="L12" s="57" t="s">
        <v>19</v>
      </c>
      <c r="M12" s="56" t="e" vm="1">
        <v>#VALUE!</v>
      </c>
    </row>
    <row r="13" spans="1:13" ht="63" x14ac:dyDescent="0.3">
      <c r="A13" s="24"/>
      <c r="B13" s="57">
        <v>2</v>
      </c>
      <c r="C13" s="57" t="s">
        <v>31</v>
      </c>
      <c r="D13" s="57" t="s">
        <v>32</v>
      </c>
      <c r="E13" s="57" t="s">
        <v>33</v>
      </c>
      <c r="F13" s="57" t="s">
        <v>26</v>
      </c>
      <c r="G13" s="57" t="s">
        <v>34</v>
      </c>
      <c r="H13" s="57" t="s">
        <v>35</v>
      </c>
      <c r="I13" s="57" t="s">
        <v>36</v>
      </c>
      <c r="J13" s="57" t="s">
        <v>37</v>
      </c>
      <c r="K13" s="57" t="s">
        <v>183</v>
      </c>
      <c r="L13" s="57" t="s">
        <v>19</v>
      </c>
      <c r="M13" s="56" t="e" vm="1">
        <v>#VALUE!</v>
      </c>
    </row>
    <row r="14" spans="1:13" ht="78.75" x14ac:dyDescent="0.3">
      <c r="A14" s="24"/>
      <c r="B14" s="57">
        <v>3</v>
      </c>
      <c r="C14" s="57" t="s">
        <v>38</v>
      </c>
      <c r="D14" s="57" t="s">
        <v>39</v>
      </c>
      <c r="E14" s="57" t="s">
        <v>40</v>
      </c>
      <c r="F14" s="57" t="s">
        <v>26</v>
      </c>
      <c r="G14" s="57" t="s">
        <v>41</v>
      </c>
      <c r="H14" s="57" t="s">
        <v>42</v>
      </c>
      <c r="I14" s="57" t="s">
        <v>43</v>
      </c>
      <c r="J14" s="57" t="s">
        <v>37</v>
      </c>
      <c r="K14" s="57" t="s">
        <v>183</v>
      </c>
      <c r="L14" s="57" t="s">
        <v>19</v>
      </c>
      <c r="M14" s="56" t="e" vm="1">
        <v>#VALUE!</v>
      </c>
    </row>
    <row r="15" spans="1:13" ht="63" x14ac:dyDescent="0.3">
      <c r="A15" s="24"/>
      <c r="B15" s="57">
        <v>4</v>
      </c>
      <c r="C15" s="57" t="s">
        <v>44</v>
      </c>
      <c r="D15" s="57" t="s">
        <v>45</v>
      </c>
      <c r="E15" s="57" t="s">
        <v>46</v>
      </c>
      <c r="F15" s="57" t="s">
        <v>26</v>
      </c>
      <c r="G15" s="57" t="s">
        <v>47</v>
      </c>
      <c r="H15" s="57" t="s">
        <v>48</v>
      </c>
      <c r="I15" s="57" t="s">
        <v>49</v>
      </c>
      <c r="J15" s="57" t="s">
        <v>50</v>
      </c>
      <c r="K15" s="57" t="s">
        <v>183</v>
      </c>
      <c r="L15" s="57" t="s">
        <v>19</v>
      </c>
      <c r="M15" s="56" t="e" vm="1">
        <v>#VALUE!</v>
      </c>
    </row>
    <row r="16" spans="1:13" ht="63" x14ac:dyDescent="0.3">
      <c r="A16" s="24"/>
      <c r="B16" s="57">
        <v>5</v>
      </c>
      <c r="C16" s="57" t="s">
        <v>51</v>
      </c>
      <c r="D16" s="57" t="s">
        <v>52</v>
      </c>
      <c r="E16" s="57" t="s">
        <v>53</v>
      </c>
      <c r="F16" s="57" t="s">
        <v>26</v>
      </c>
      <c r="G16" s="57" t="s">
        <v>54</v>
      </c>
      <c r="H16" s="57" t="s">
        <v>55</v>
      </c>
      <c r="I16" s="57" t="s">
        <v>56</v>
      </c>
      <c r="J16" s="57" t="s">
        <v>57</v>
      </c>
      <c r="K16" s="57" t="s">
        <v>183</v>
      </c>
      <c r="L16" s="57" t="s">
        <v>19</v>
      </c>
      <c r="M16" s="56" t="e" vm="1">
        <v>#VALUE!</v>
      </c>
    </row>
    <row r="17" spans="1:13" ht="63" x14ac:dyDescent="0.3">
      <c r="A17" s="24"/>
      <c r="B17" s="57">
        <v>6</v>
      </c>
      <c r="C17" s="57" t="s">
        <v>188</v>
      </c>
      <c r="D17" s="57" t="s">
        <v>52</v>
      </c>
      <c r="E17" s="57" t="s">
        <v>186</v>
      </c>
      <c r="F17" s="57" t="s">
        <v>26</v>
      </c>
      <c r="G17" s="57" t="s">
        <v>190</v>
      </c>
      <c r="H17" s="57" t="s">
        <v>184</v>
      </c>
      <c r="I17" s="57" t="s">
        <v>56</v>
      </c>
      <c r="J17" s="57" t="s">
        <v>57</v>
      </c>
      <c r="K17" s="57" t="s">
        <v>183</v>
      </c>
      <c r="L17" s="57" t="s">
        <v>19</v>
      </c>
      <c r="M17" s="56" t="e" vm="1">
        <v>#VALUE!</v>
      </c>
    </row>
    <row r="18" spans="1:13" ht="63" x14ac:dyDescent="0.3">
      <c r="A18" s="24"/>
      <c r="B18" s="57">
        <v>7</v>
      </c>
      <c r="C18" s="57" t="s">
        <v>189</v>
      </c>
      <c r="D18" s="57" t="s">
        <v>52</v>
      </c>
      <c r="E18" s="57" t="s">
        <v>187</v>
      </c>
      <c r="F18" s="57" t="s">
        <v>26</v>
      </c>
      <c r="G18" s="57" t="s">
        <v>191</v>
      </c>
      <c r="H18" s="57" t="s">
        <v>185</v>
      </c>
      <c r="I18" s="57" t="s">
        <v>56</v>
      </c>
      <c r="J18" s="57" t="s">
        <v>57</v>
      </c>
      <c r="K18" s="57" t="s">
        <v>183</v>
      </c>
      <c r="L18" s="57" t="s">
        <v>19</v>
      </c>
      <c r="M18" s="56" t="e" vm="1">
        <v>#VALUE!</v>
      </c>
    </row>
    <row r="19" spans="1:13" ht="16.5" x14ac:dyDescent="0.3">
      <c r="A19" s="24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6"/>
    </row>
    <row r="20" spans="1:13" ht="16.5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16.5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16.5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16.5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16.5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16.5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16.5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16.5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16.5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16.5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16.5" x14ac:dyDescent="0.3">
      <c r="A30" s="24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6"/>
    </row>
    <row r="31" spans="1:13" ht="20.100000000000001" customHeight="1" x14ac:dyDescent="0.3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6"/>
    </row>
    <row r="32" spans="1:13" ht="20.100000000000001" customHeight="1" thickBot="1" x14ac:dyDescent="0.35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</row>
  </sheetData>
  <mergeCells count="2">
    <mergeCell ref="C3:C4"/>
    <mergeCell ref="B3:B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000-000000000000}"/>
    <dataValidation type="list" allowBlank="1" showInputMessage="1" showErrorMessage="1" sqref="L12:L30" xr:uid="{00000000-0002-0000-0000-000001000000}">
      <formula1>"Pass,Fail,Pending"</formula1>
    </dataValidation>
  </dataValidations>
  <hyperlinks>
    <hyperlink ref="C6" r:id="rId1" xr:uid="{00000000-0004-0000-0000-000000000000}"/>
  </hyperlinks>
  <printOptions horizontalCentered="1"/>
  <pageMargins left="0.25" right="0.25" top="0.75" bottom="0.75" header="0.3" footer="0.3"/>
  <pageSetup scale="92" fitToHeight="0" orientation="portrait" r:id="rId2"/>
  <ignoredErrors>
    <ignoredError sqref="B16" calculatedColumn="1"/>
  </ignoredErrors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M31"/>
  <sheetViews>
    <sheetView showGridLines="0" zoomScale="70" zoomScaleNormal="70" workbookViewId="0">
      <pane ySplit="2" topLeftCell="A11" activePane="bottomLeft" state="frozen"/>
      <selection activeCell="C31" sqref="C31"/>
      <selection pane="bottomLeft" activeCell="Q15" sqref="Q15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7" width="22.21875" style="1" customWidth="1"/>
    <col min="8" max="8" width="10.44140625" style="1" bestFit="1" customWidth="1"/>
    <col min="9" max="9" width="21.77734375" style="1" bestFit="1" customWidth="1"/>
    <col min="10" max="10" width="21.109375" style="1" customWidth="1"/>
    <col min="11" max="11" width="15.88671875" style="1" customWidth="1"/>
    <col min="12" max="12" width="7.44140625" style="1" bestFit="1" customWidth="1"/>
    <col min="13" max="13" width="11.3320312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4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47.25" x14ac:dyDescent="0.3">
      <c r="A12" s="24"/>
      <c r="B12" s="57">
        <v>1</v>
      </c>
      <c r="C12" s="57" t="s">
        <v>58</v>
      </c>
      <c r="D12" s="57" t="s">
        <v>59</v>
      </c>
      <c r="E12" s="57" t="s">
        <v>60</v>
      </c>
      <c r="F12" s="57" t="s">
        <v>61</v>
      </c>
      <c r="G12" s="57" t="s">
        <v>62</v>
      </c>
      <c r="H12" s="59" t="s">
        <v>194</v>
      </c>
      <c r="I12" s="57" t="s">
        <v>193</v>
      </c>
      <c r="J12" s="57" t="s">
        <v>192</v>
      </c>
      <c r="K12" s="57" t="s">
        <v>183</v>
      </c>
      <c r="L12" s="57" t="s">
        <v>19</v>
      </c>
      <c r="M12" s="56" t="e" vm="1">
        <v>#VALUE!</v>
      </c>
    </row>
    <row r="13" spans="1:13" ht="47.25" x14ac:dyDescent="0.3">
      <c r="A13" s="24"/>
      <c r="B13" s="57">
        <v>2</v>
      </c>
      <c r="C13" s="57" t="s">
        <v>64</v>
      </c>
      <c r="D13" s="57" t="s">
        <v>65</v>
      </c>
      <c r="E13" s="57" t="s">
        <v>66</v>
      </c>
      <c r="F13" s="57" t="s">
        <v>61</v>
      </c>
      <c r="G13" s="57" t="s">
        <v>67</v>
      </c>
      <c r="H13" s="59" t="s">
        <v>194</v>
      </c>
      <c r="I13" s="57" t="s">
        <v>68</v>
      </c>
      <c r="J13" s="57" t="s">
        <v>69</v>
      </c>
      <c r="K13" s="57" t="s">
        <v>183</v>
      </c>
      <c r="L13" s="57" t="s">
        <v>19</v>
      </c>
      <c r="M13" s="56" t="e" vm="1">
        <v>#VALUE!</v>
      </c>
    </row>
    <row r="14" spans="1:13" ht="47.25" x14ac:dyDescent="0.3">
      <c r="A14" s="24"/>
      <c r="B14" s="57">
        <v>3</v>
      </c>
      <c r="C14" s="57" t="s">
        <v>70</v>
      </c>
      <c r="D14" s="57" t="s">
        <v>71</v>
      </c>
      <c r="E14" s="57" t="s">
        <v>72</v>
      </c>
      <c r="F14" s="57" t="s">
        <v>61</v>
      </c>
      <c r="G14" s="57" t="s">
        <v>73</v>
      </c>
      <c r="H14" s="57" t="s">
        <v>63</v>
      </c>
      <c r="I14" s="57" t="s">
        <v>74</v>
      </c>
      <c r="J14" s="57" t="s">
        <v>75</v>
      </c>
      <c r="K14" s="57" t="s">
        <v>183</v>
      </c>
      <c r="L14" s="57" t="s">
        <v>19</v>
      </c>
      <c r="M14" s="56" t="e" vm="1">
        <v>#VALUE!</v>
      </c>
    </row>
    <row r="15" spans="1:13" ht="48" thickBot="1" x14ac:dyDescent="0.35">
      <c r="A15" s="30"/>
      <c r="B15" s="57">
        <v>4</v>
      </c>
      <c r="C15" s="57" t="s">
        <v>76</v>
      </c>
      <c r="D15" s="57" t="s">
        <v>77</v>
      </c>
      <c r="E15" s="57" t="s">
        <v>78</v>
      </c>
      <c r="F15" s="57" t="s">
        <v>61</v>
      </c>
      <c r="G15" s="57" t="s">
        <v>79</v>
      </c>
      <c r="H15" s="57" t="s">
        <v>63</v>
      </c>
      <c r="I15" s="57" t="s">
        <v>80</v>
      </c>
      <c r="J15" s="57" t="s">
        <v>81</v>
      </c>
      <c r="K15" s="57" t="s">
        <v>183</v>
      </c>
      <c r="L15" s="57" t="s">
        <v>19</v>
      </c>
      <c r="M15" s="56" t="e" vm="1">
        <v>#VALUE!</v>
      </c>
    </row>
    <row r="16" spans="1:13" ht="47.25" x14ac:dyDescent="0.3">
      <c r="A16" s="20"/>
      <c r="B16" s="57">
        <v>5</v>
      </c>
      <c r="C16" s="57" t="s">
        <v>82</v>
      </c>
      <c r="D16" s="57" t="s">
        <v>83</v>
      </c>
      <c r="E16" s="57" t="s">
        <v>84</v>
      </c>
      <c r="F16" s="57" t="s">
        <v>85</v>
      </c>
      <c r="G16" s="57" t="s">
        <v>86</v>
      </c>
      <c r="H16" s="57" t="s">
        <v>63</v>
      </c>
      <c r="I16" s="57" t="s">
        <v>29</v>
      </c>
      <c r="J16" s="57" t="s">
        <v>87</v>
      </c>
      <c r="K16" s="57" t="s">
        <v>183</v>
      </c>
      <c r="L16" s="57" t="s">
        <v>19</v>
      </c>
      <c r="M16" s="56" t="e" vm="1">
        <v>#VALUE!</v>
      </c>
    </row>
    <row r="17" spans="1:13" ht="47.25" x14ac:dyDescent="0.3">
      <c r="A17" s="24"/>
      <c r="B17" s="57">
        <v>6</v>
      </c>
      <c r="C17" s="57" t="s">
        <v>88</v>
      </c>
      <c r="D17" s="57" t="s">
        <v>89</v>
      </c>
      <c r="E17" s="57" t="s">
        <v>90</v>
      </c>
      <c r="F17" s="57" t="s">
        <v>61</v>
      </c>
      <c r="G17" s="57" t="s">
        <v>91</v>
      </c>
      <c r="H17" s="57" t="s">
        <v>63</v>
      </c>
      <c r="I17" s="57" t="s">
        <v>92</v>
      </c>
      <c r="J17" s="57" t="s">
        <v>93</v>
      </c>
      <c r="K17" s="57" t="s">
        <v>183</v>
      </c>
      <c r="L17" s="57" t="s">
        <v>19</v>
      </c>
      <c r="M17" s="56" t="e" vm="1">
        <v>#VALUE!</v>
      </c>
    </row>
    <row r="18" spans="1:13" ht="16.5" x14ac:dyDescent="0.3">
      <c r="A18" s="2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6"/>
    </row>
    <row r="19" spans="1:13" ht="16.5" x14ac:dyDescent="0.3">
      <c r="A19" s="2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6"/>
    </row>
    <row r="20" spans="1:13" ht="16.5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16.5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16.5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16.5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16.5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16.5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16.5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16.5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16.5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16.5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17.25" thickBot="1" x14ac:dyDescent="0.35">
      <c r="A30" s="3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6"/>
    </row>
    <row r="31" spans="1:13" ht="20.100000000000001" customHeight="1" thickBot="1" x14ac:dyDescent="0.35">
      <c r="A31" s="4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100-000000000000}"/>
    <dataValidation type="list" allowBlank="1" showInputMessage="1" showErrorMessage="1" sqref="L12:L30" xr:uid="{00000000-0002-0000-0100-000001000000}">
      <formula1>"Pass,Fail,Pending"</formula1>
    </dataValidation>
  </dataValidations>
  <hyperlinks>
    <hyperlink ref="C6" r:id="rId1" xr:uid="{82E2D789-51FC-478E-8CC1-D76A8196D455}"/>
    <hyperlink ref="H12" r:id="rId2" xr:uid="{E04C5D15-E2E4-4A65-8189-19292F6750E4}"/>
    <hyperlink ref="H13" r:id="rId3" xr:uid="{B42371AE-6F55-4680-A4F7-5835304E1623}"/>
  </hyperlinks>
  <printOptions horizontalCentered="1"/>
  <pageMargins left="0.25" right="0.25" top="0.75" bottom="0.75" header="0.3" footer="0.3"/>
  <pageSetup scale="92" fitToHeight="0" orientation="portrait" r:id="rId4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31"/>
  <sheetViews>
    <sheetView showGridLines="0" zoomScale="70" zoomScaleNormal="70" workbookViewId="0">
      <pane ySplit="2" topLeftCell="A8" activePane="bottomLeft" state="frozen"/>
      <selection activeCell="C31" sqref="C31"/>
      <selection pane="bottomLeft" activeCell="F21" sqref="F21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4" width="22.21875" style="1" customWidth="1"/>
    <col min="5" max="5" width="23.44140625" style="1" customWidth="1"/>
    <col min="6" max="6" width="22.21875" style="1" customWidth="1"/>
    <col min="7" max="7" width="26.109375" style="1" customWidth="1"/>
    <col min="8" max="8" width="15" style="1" customWidth="1"/>
    <col min="9" max="9" width="21.33203125" style="1" bestFit="1" customWidth="1"/>
    <col min="10" max="10" width="17.44140625" style="1" customWidth="1"/>
    <col min="11" max="11" width="16.77734375" style="1" customWidth="1"/>
    <col min="12" max="12" width="11.109375" style="1" customWidth="1"/>
    <col min="13" max="13" width="12.3320312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4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47.25" x14ac:dyDescent="0.3">
      <c r="A12" s="24"/>
      <c r="B12" s="57">
        <v>1</v>
      </c>
      <c r="C12" s="57" t="s">
        <v>94</v>
      </c>
      <c r="D12" s="57" t="s">
        <v>95</v>
      </c>
      <c r="E12" s="57" t="s">
        <v>96</v>
      </c>
      <c r="F12" s="57" t="s">
        <v>97</v>
      </c>
      <c r="G12" s="57" t="s">
        <v>98</v>
      </c>
      <c r="H12" s="57" t="s">
        <v>63</v>
      </c>
      <c r="I12" s="57" t="s">
        <v>36</v>
      </c>
      <c r="J12" s="57" t="s">
        <v>99</v>
      </c>
      <c r="K12" s="57" t="s">
        <v>183</v>
      </c>
      <c r="L12" s="57" t="s">
        <v>19</v>
      </c>
      <c r="M12" s="56" t="e" vm="1">
        <v>#VALUE!</v>
      </c>
    </row>
    <row r="13" spans="1:13" ht="31.5" x14ac:dyDescent="0.3">
      <c r="A13" s="24"/>
      <c r="B13" s="57">
        <v>2</v>
      </c>
      <c r="C13" s="57" t="s">
        <v>100</v>
      </c>
      <c r="D13" s="57" t="s">
        <v>101</v>
      </c>
      <c r="E13" s="57" t="s">
        <v>102</v>
      </c>
      <c r="F13" s="57" t="s">
        <v>97</v>
      </c>
      <c r="G13" s="57" t="s">
        <v>103</v>
      </c>
      <c r="H13" s="57" t="s">
        <v>63</v>
      </c>
      <c r="I13" s="57" t="s">
        <v>104</v>
      </c>
      <c r="J13" s="57" t="s">
        <v>105</v>
      </c>
      <c r="K13" s="57" t="s">
        <v>183</v>
      </c>
      <c r="L13" s="57" t="s">
        <v>19</v>
      </c>
      <c r="M13" s="56" t="e" vm="1">
        <v>#VALUE!</v>
      </c>
    </row>
    <row r="14" spans="1:13" ht="31.5" x14ac:dyDescent="0.3">
      <c r="A14" s="24"/>
      <c r="B14" s="57">
        <v>3</v>
      </c>
      <c r="C14" s="57" t="s">
        <v>106</v>
      </c>
      <c r="D14" s="57" t="s">
        <v>107</v>
      </c>
      <c r="E14" s="57" t="s">
        <v>108</v>
      </c>
      <c r="F14" s="57" t="s">
        <v>109</v>
      </c>
      <c r="G14" s="57" t="s">
        <v>110</v>
      </c>
      <c r="H14" s="57" t="s">
        <v>63</v>
      </c>
      <c r="I14" s="57" t="s">
        <v>111</v>
      </c>
      <c r="J14" s="57" t="s">
        <v>112</v>
      </c>
      <c r="K14" s="57" t="s">
        <v>183</v>
      </c>
      <c r="L14" s="57" t="s">
        <v>19</v>
      </c>
      <c r="M14" s="56" t="e" vm="1">
        <v>#VALUE!</v>
      </c>
    </row>
    <row r="15" spans="1:13" ht="31.5" x14ac:dyDescent="0.3">
      <c r="A15" s="24"/>
      <c r="B15" s="57">
        <v>4</v>
      </c>
      <c r="C15" s="57" t="s">
        <v>113</v>
      </c>
      <c r="D15" s="57" t="s">
        <v>114</v>
      </c>
      <c r="E15" s="57" t="s">
        <v>115</v>
      </c>
      <c r="F15" s="57" t="s">
        <v>116</v>
      </c>
      <c r="G15" s="57" t="s">
        <v>117</v>
      </c>
      <c r="H15" s="57" t="s">
        <v>63</v>
      </c>
      <c r="I15" s="57" t="s">
        <v>118</v>
      </c>
      <c r="J15" s="57" t="s">
        <v>119</v>
      </c>
      <c r="K15" s="57" t="s">
        <v>183</v>
      </c>
      <c r="L15" s="57" t="s">
        <v>19</v>
      </c>
      <c r="M15" s="56" t="e" vm="1">
        <v>#VALUE!</v>
      </c>
    </row>
    <row r="16" spans="1:13" ht="47.25" x14ac:dyDescent="0.3">
      <c r="A16" s="24"/>
      <c r="B16" s="57">
        <v>5</v>
      </c>
      <c r="C16" s="57" t="s">
        <v>120</v>
      </c>
      <c r="D16" s="57" t="s">
        <v>121</v>
      </c>
      <c r="E16" s="57" t="s">
        <v>122</v>
      </c>
      <c r="F16" s="57" t="s">
        <v>123</v>
      </c>
      <c r="G16" s="57" t="s">
        <v>124</v>
      </c>
      <c r="H16" s="57" t="s">
        <v>63</v>
      </c>
      <c r="I16" s="57" t="s">
        <v>125</v>
      </c>
      <c r="J16" s="57" t="s">
        <v>126</v>
      </c>
      <c r="K16" s="57" t="s">
        <v>183</v>
      </c>
      <c r="L16" s="57" t="s">
        <v>19</v>
      </c>
      <c r="M16" s="56" t="e" vm="1">
        <v>#VALUE!</v>
      </c>
    </row>
    <row r="17" spans="1:13" ht="20.100000000000001" customHeight="1" x14ac:dyDescent="0.3">
      <c r="A17" s="2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6"/>
    </row>
    <row r="18" spans="1:13" ht="20.100000000000001" customHeight="1" x14ac:dyDescent="0.3">
      <c r="A18" s="2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6"/>
    </row>
    <row r="19" spans="1:13" ht="20.100000000000001" customHeight="1" x14ac:dyDescent="0.3">
      <c r="A19" s="2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6"/>
    </row>
    <row r="20" spans="1:13" ht="20.100000000000001" customHeight="1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20.100000000000001" customHeight="1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20.100000000000001" customHeight="1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20.100000000000001" customHeight="1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20.100000000000001" customHeight="1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20.100000000000001" customHeight="1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20.100000000000001" customHeight="1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20.100000000000001" customHeight="1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20.100000000000001" customHeight="1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20.100000000000001" customHeight="1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20.100000000000001" customHeight="1" thickBot="1" x14ac:dyDescent="0.35">
      <c r="A30" s="3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6"/>
    </row>
    <row r="31" spans="1:13" ht="20.100000000000001" customHeight="1" thickBot="1" x14ac:dyDescent="0.35">
      <c r="A31" s="4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200-000000000000}"/>
    <dataValidation type="list" allowBlank="1" showInputMessage="1" showErrorMessage="1" sqref="L12:L30" xr:uid="{00000000-0002-0000-0200-000001000000}">
      <formula1>"Pass,Fail,Pending"</formula1>
    </dataValidation>
  </dataValidations>
  <hyperlinks>
    <hyperlink ref="C6" r:id="rId1" xr:uid="{E9E94FCE-93BF-45C5-A6D5-C074CB305A31}"/>
  </hyperlinks>
  <printOptions horizontalCentered="1"/>
  <pageMargins left="0.25" right="0.25" top="0.75" bottom="0.75" header="0.3" footer="0.3"/>
  <pageSetup scale="92" fitToHeight="0" orientation="portrait" r:id="rId2"/>
  <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31"/>
  <sheetViews>
    <sheetView showGridLines="0" zoomScale="70" zoomScaleNormal="70" workbookViewId="0">
      <pane ySplit="2" topLeftCell="A7" activePane="bottomLeft" state="frozen"/>
      <selection activeCell="C31" sqref="C31"/>
      <selection pane="bottomLeft" activeCell="M11" sqref="M11:M14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9" width="22.21875" style="1" customWidth="1"/>
    <col min="10" max="10" width="19.6640625" style="1" customWidth="1"/>
    <col min="11" max="11" width="16.33203125" style="1" customWidth="1"/>
    <col min="12" max="12" width="11.5546875" style="1" customWidth="1"/>
    <col min="13" max="13" width="16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4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47.25" x14ac:dyDescent="0.3">
      <c r="A12" s="24"/>
      <c r="B12" s="18">
        <v>1</v>
      </c>
      <c r="C12" s="18" t="s">
        <v>127</v>
      </c>
      <c r="D12" s="18" t="s">
        <v>128</v>
      </c>
      <c r="E12" s="18" t="s">
        <v>129</v>
      </c>
      <c r="F12" s="18" t="s">
        <v>130</v>
      </c>
      <c r="G12" s="18" t="s">
        <v>131</v>
      </c>
      <c r="H12" s="18" t="s">
        <v>63</v>
      </c>
      <c r="I12" s="18" t="s">
        <v>132</v>
      </c>
      <c r="J12" s="18" t="s">
        <v>126</v>
      </c>
      <c r="K12" s="18" t="s">
        <v>183</v>
      </c>
      <c r="L12" s="18" t="s">
        <v>19</v>
      </c>
      <c r="M12" s="56" t="e" vm="1">
        <v>#VALUE!</v>
      </c>
    </row>
    <row r="13" spans="1:13" ht="31.5" x14ac:dyDescent="0.3">
      <c r="A13" s="24"/>
      <c r="B13" s="18">
        <v>2</v>
      </c>
      <c r="C13" s="18" t="s">
        <v>133</v>
      </c>
      <c r="D13" s="18" t="s">
        <v>134</v>
      </c>
      <c r="E13" s="18" t="s">
        <v>135</v>
      </c>
      <c r="F13" s="18" t="s">
        <v>136</v>
      </c>
      <c r="G13" s="18" t="s">
        <v>137</v>
      </c>
      <c r="H13" s="18" t="s">
        <v>63</v>
      </c>
      <c r="I13" s="18" t="s">
        <v>138</v>
      </c>
      <c r="J13" s="18" t="s">
        <v>139</v>
      </c>
      <c r="K13" s="18" t="s">
        <v>183</v>
      </c>
      <c r="L13" s="18" t="s">
        <v>19</v>
      </c>
      <c r="M13" s="56" t="e" vm="1">
        <v>#VALUE!</v>
      </c>
    </row>
    <row r="14" spans="1:13" ht="47.25" x14ac:dyDescent="0.3">
      <c r="A14" s="24"/>
      <c r="B14" s="18">
        <v>3</v>
      </c>
      <c r="C14" s="18" t="s">
        <v>140</v>
      </c>
      <c r="D14" s="18" t="s">
        <v>141</v>
      </c>
      <c r="E14" s="18" t="s">
        <v>142</v>
      </c>
      <c r="F14" s="18" t="s">
        <v>143</v>
      </c>
      <c r="G14" s="18" t="s">
        <v>144</v>
      </c>
      <c r="H14" s="18" t="s">
        <v>145</v>
      </c>
      <c r="I14" s="18" t="s">
        <v>146</v>
      </c>
      <c r="J14" s="18" t="s">
        <v>147</v>
      </c>
      <c r="K14" s="18" t="s">
        <v>183</v>
      </c>
      <c r="L14" s="18" t="s">
        <v>19</v>
      </c>
      <c r="M14" s="56" t="e" vm="1">
        <v>#VALUE!</v>
      </c>
    </row>
    <row r="15" spans="1:13" ht="20.100000000000001" customHeight="1" x14ac:dyDescent="0.3">
      <c r="A15" s="24"/>
      <c r="B15" s="55"/>
      <c r="C15" s="55"/>
      <c r="D15" s="55"/>
      <c r="E15" s="55"/>
      <c r="F15" s="55"/>
      <c r="G15" s="55"/>
      <c r="H15" s="55"/>
      <c r="I15" s="55"/>
      <c r="J15" s="55"/>
      <c r="K15" s="18"/>
      <c r="L15" s="18"/>
      <c r="M15" s="56"/>
    </row>
    <row r="16" spans="1:13" ht="20.100000000000001" customHeight="1" x14ac:dyDescent="0.3">
      <c r="A16" s="24"/>
      <c r="B16" s="55"/>
      <c r="C16" s="55"/>
      <c r="D16" s="55"/>
      <c r="E16" s="55"/>
      <c r="F16" s="55"/>
      <c r="G16" s="55"/>
      <c r="H16" s="55"/>
      <c r="I16" s="55"/>
      <c r="J16" s="55"/>
      <c r="K16" s="18"/>
      <c r="L16" s="18"/>
      <c r="M16" s="56"/>
    </row>
    <row r="17" spans="1:13" ht="20.100000000000001" customHeight="1" x14ac:dyDescent="0.3">
      <c r="A17" s="2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  <row r="18" spans="1:13" ht="20.100000000000001" customHeight="1" x14ac:dyDescent="0.3">
      <c r="A18" s="2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6"/>
    </row>
    <row r="19" spans="1:13" ht="20.100000000000001" customHeight="1" x14ac:dyDescent="0.3">
      <c r="A19" s="2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6"/>
    </row>
    <row r="20" spans="1:13" ht="20.100000000000001" customHeight="1" x14ac:dyDescent="0.3">
      <c r="A20" s="2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6"/>
    </row>
    <row r="21" spans="1:13" ht="20.100000000000001" customHeight="1" x14ac:dyDescent="0.3">
      <c r="A21" s="2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6"/>
    </row>
    <row r="22" spans="1:13" ht="20.100000000000001" customHeight="1" x14ac:dyDescent="0.3">
      <c r="A22" s="2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6"/>
    </row>
    <row r="23" spans="1:13" ht="20.100000000000001" customHeight="1" x14ac:dyDescent="0.3">
      <c r="A23" s="2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6"/>
    </row>
    <row r="24" spans="1:13" ht="20.100000000000001" customHeight="1" x14ac:dyDescent="0.3">
      <c r="A24" s="2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6"/>
    </row>
    <row r="25" spans="1:13" ht="20.100000000000001" customHeight="1" x14ac:dyDescent="0.3">
      <c r="A25" s="2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6"/>
    </row>
    <row r="26" spans="1:13" ht="20.100000000000001" customHeight="1" x14ac:dyDescent="0.3">
      <c r="A26" s="2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6"/>
    </row>
    <row r="27" spans="1:13" ht="20.100000000000001" customHeight="1" x14ac:dyDescent="0.3">
      <c r="A27" s="2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6"/>
    </row>
    <row r="28" spans="1:13" ht="20.100000000000001" customHeight="1" x14ac:dyDescent="0.3">
      <c r="A28" s="2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6"/>
    </row>
    <row r="29" spans="1:13" ht="20.100000000000001" customHeight="1" x14ac:dyDescent="0.3">
      <c r="A29" s="2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6"/>
    </row>
    <row r="30" spans="1:13" ht="20.100000000000001" customHeight="1" thickBot="1" x14ac:dyDescent="0.35">
      <c r="A30" s="30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6"/>
    </row>
    <row r="31" spans="1:13" ht="20.100000000000001" customHeight="1" thickBot="1" x14ac:dyDescent="0.35">
      <c r="A31" s="4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300-000000000000}"/>
    <dataValidation type="list" allowBlank="1" showInputMessage="1" showErrorMessage="1" sqref="L12:L30" xr:uid="{00000000-0002-0000-0300-000001000000}">
      <formula1>"Pass,Fail,Pending"</formula1>
    </dataValidation>
  </dataValidations>
  <hyperlinks>
    <hyperlink ref="C6" r:id="rId1" xr:uid="{85B1EF37-311C-4729-A5E3-00F83DB54298}"/>
  </hyperlinks>
  <printOptions horizontalCentered="1"/>
  <pageMargins left="0.25" right="0.25" top="0.75" bottom="0.75" header="0.3" footer="0.3"/>
  <pageSetup scale="92" fitToHeight="0" orientation="portrait" r:id="rId2"/>
  <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M31"/>
  <sheetViews>
    <sheetView showGridLines="0" zoomScale="70" zoomScaleNormal="70" workbookViewId="0">
      <pane ySplit="2" topLeftCell="A8" activePane="bottomLeft" state="frozen"/>
      <selection activeCell="C31" sqref="C31"/>
      <selection pane="bottomLeft" activeCell="M11" sqref="M11:M13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9" width="22.21875" style="1" customWidth="1"/>
    <col min="10" max="10" width="18.5546875" style="1" customWidth="1"/>
    <col min="11" max="11" width="19.33203125" style="1" customWidth="1"/>
    <col min="12" max="12" width="11.5546875" style="1" customWidth="1"/>
    <col min="13" max="13" width="14.3320312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4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47.25" x14ac:dyDescent="0.3">
      <c r="A12" s="24"/>
      <c r="B12" s="57">
        <v>1</v>
      </c>
      <c r="C12" s="57" t="s">
        <v>148</v>
      </c>
      <c r="D12" s="57" t="s">
        <v>149</v>
      </c>
      <c r="E12" s="57" t="s">
        <v>150</v>
      </c>
      <c r="F12" s="57" t="s">
        <v>151</v>
      </c>
      <c r="G12" s="57" t="s">
        <v>131</v>
      </c>
      <c r="H12" s="57" t="s">
        <v>63</v>
      </c>
      <c r="I12" s="57" t="s">
        <v>152</v>
      </c>
      <c r="J12" s="57" t="s">
        <v>147</v>
      </c>
      <c r="K12" s="57" t="s">
        <v>183</v>
      </c>
      <c r="L12" s="57" t="s">
        <v>19</v>
      </c>
      <c r="M12" s="56" t="e" vm="1">
        <v>#VALUE!</v>
      </c>
    </row>
    <row r="13" spans="1:13" ht="31.5" x14ac:dyDescent="0.3">
      <c r="A13" s="24"/>
      <c r="B13" s="57">
        <v>2</v>
      </c>
      <c r="C13" s="57" t="s">
        <v>153</v>
      </c>
      <c r="D13" s="57" t="s">
        <v>154</v>
      </c>
      <c r="E13" s="57" t="s">
        <v>155</v>
      </c>
      <c r="F13" s="57" t="s">
        <v>156</v>
      </c>
      <c r="G13" s="57" t="s">
        <v>157</v>
      </c>
      <c r="H13" s="57" t="s">
        <v>63</v>
      </c>
      <c r="I13" s="57" t="s">
        <v>158</v>
      </c>
      <c r="J13" s="57" t="s">
        <v>159</v>
      </c>
      <c r="K13" s="57" t="s">
        <v>183</v>
      </c>
      <c r="L13" s="57" t="s">
        <v>19</v>
      </c>
      <c r="M13" s="56" t="e" vm="1">
        <v>#VALUE!</v>
      </c>
    </row>
    <row r="14" spans="1:13" ht="31.5" x14ac:dyDescent="0.3">
      <c r="A14" s="24"/>
      <c r="B14" s="57">
        <v>3</v>
      </c>
      <c r="C14" s="57" t="s">
        <v>160</v>
      </c>
      <c r="D14" s="57" t="s">
        <v>161</v>
      </c>
      <c r="E14" s="57" t="s">
        <v>162</v>
      </c>
      <c r="F14" s="57" t="s">
        <v>151</v>
      </c>
      <c r="G14" s="57" t="s">
        <v>163</v>
      </c>
      <c r="H14" s="57" t="s">
        <v>63</v>
      </c>
      <c r="I14" s="57" t="s">
        <v>36</v>
      </c>
      <c r="J14" s="57" t="s">
        <v>87</v>
      </c>
      <c r="K14" s="57" t="s">
        <v>183</v>
      </c>
      <c r="L14" s="57" t="s">
        <v>19</v>
      </c>
      <c r="M14" s="56" t="e" vm="1">
        <v>#VALUE!</v>
      </c>
    </row>
    <row r="15" spans="1:13" ht="20.100000000000001" customHeight="1" x14ac:dyDescent="0.3">
      <c r="A15" s="24"/>
      <c r="B15" s="58"/>
      <c r="C15" s="58"/>
      <c r="D15" s="58"/>
      <c r="E15" s="58"/>
      <c r="F15" s="58"/>
      <c r="G15" s="58"/>
      <c r="H15" s="58"/>
      <c r="I15" s="58"/>
      <c r="J15" s="58"/>
      <c r="K15" s="57"/>
      <c r="L15" s="57"/>
      <c r="M15" s="56"/>
    </row>
    <row r="16" spans="1:13" ht="20.100000000000001" customHeight="1" x14ac:dyDescent="0.3">
      <c r="A16" s="24"/>
      <c r="B16" s="58"/>
      <c r="C16" s="58"/>
      <c r="D16" s="58"/>
      <c r="E16" s="58"/>
      <c r="F16" s="58"/>
      <c r="G16" s="58"/>
      <c r="H16" s="58"/>
      <c r="I16" s="58"/>
      <c r="J16" s="58"/>
      <c r="K16" s="57"/>
      <c r="L16" s="57"/>
      <c r="M16" s="56"/>
    </row>
    <row r="17" spans="1:13" ht="20.100000000000001" customHeight="1" x14ac:dyDescent="0.3">
      <c r="A17" s="2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6"/>
    </row>
    <row r="18" spans="1:13" ht="20.100000000000001" customHeight="1" x14ac:dyDescent="0.3">
      <c r="A18" s="2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6"/>
    </row>
    <row r="19" spans="1:13" ht="20.100000000000001" customHeight="1" x14ac:dyDescent="0.3">
      <c r="A19" s="2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6"/>
    </row>
    <row r="20" spans="1:13" ht="20.100000000000001" customHeight="1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20.100000000000001" customHeight="1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20.100000000000001" customHeight="1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20.100000000000001" customHeight="1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20.100000000000001" customHeight="1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20.100000000000001" customHeight="1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20.100000000000001" customHeight="1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20.100000000000001" customHeight="1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20.100000000000001" customHeight="1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20.100000000000001" customHeight="1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20.100000000000001" customHeight="1" thickBot="1" x14ac:dyDescent="0.35">
      <c r="A30" s="3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6"/>
    </row>
    <row r="31" spans="1:13" ht="20.100000000000001" customHeight="1" thickBot="1" x14ac:dyDescent="0.35">
      <c r="A31" s="4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400-000000000000}"/>
    <dataValidation type="list" allowBlank="1" showInputMessage="1" showErrorMessage="1" sqref="L12:L30" xr:uid="{00000000-0002-0000-0400-000001000000}">
      <formula1>"Pass,Fail,Pending"</formula1>
    </dataValidation>
  </dataValidations>
  <hyperlinks>
    <hyperlink ref="C6" r:id="rId1" xr:uid="{404CD812-A9C9-4FEA-94DC-E4709075259F}"/>
  </hyperlinks>
  <printOptions horizontalCentered="1"/>
  <pageMargins left="0.25" right="0.25" top="0.75" bottom="0.75" header="0.3" footer="0.3"/>
  <pageSetup scale="92" fitToHeight="0" orientation="portrait" r:id="rId2"/>
  <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31"/>
  <sheetViews>
    <sheetView showGridLines="0" zoomScale="70" zoomScaleNormal="70" workbookViewId="0">
      <pane ySplit="2" topLeftCell="A5" activePane="bottomLeft" state="frozen"/>
      <selection activeCell="C31" sqref="C31"/>
      <selection pane="bottomLeft" activeCell="J21" sqref="J21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9" width="22.21875" style="1" customWidth="1"/>
    <col min="10" max="10" width="21.77734375" style="1" customWidth="1"/>
    <col min="11" max="11" width="17.77734375" style="1" customWidth="1"/>
    <col min="12" max="12" width="11.5546875" style="1" customWidth="1"/>
    <col min="13" max="13" width="14.4414062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4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47.25" x14ac:dyDescent="0.3">
      <c r="A12" s="24"/>
      <c r="B12" s="57">
        <v>1</v>
      </c>
      <c r="C12" s="57" t="s">
        <v>164</v>
      </c>
      <c r="D12" s="57" t="s">
        <v>165</v>
      </c>
      <c r="E12" s="57" t="s">
        <v>166</v>
      </c>
      <c r="F12" s="57" t="s">
        <v>167</v>
      </c>
      <c r="G12" s="57" t="s">
        <v>168</v>
      </c>
      <c r="H12" s="57" t="s">
        <v>63</v>
      </c>
      <c r="I12" s="57" t="s">
        <v>169</v>
      </c>
      <c r="J12" s="57" t="s">
        <v>170</v>
      </c>
      <c r="K12" s="57" t="s">
        <v>183</v>
      </c>
      <c r="L12" s="57" t="s">
        <v>19</v>
      </c>
      <c r="M12" s="56" t="e" vm="1">
        <v>#VALUE!</v>
      </c>
    </row>
    <row r="13" spans="1:13" ht="20.100000000000001" customHeight="1" x14ac:dyDescent="0.3">
      <c r="A13" s="24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6"/>
    </row>
    <row r="14" spans="1:13" ht="20.100000000000001" customHeight="1" x14ac:dyDescent="0.3">
      <c r="A14" s="24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6"/>
    </row>
    <row r="15" spans="1:13" ht="20.100000000000001" customHeight="1" x14ac:dyDescent="0.3">
      <c r="A15" s="24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6"/>
    </row>
    <row r="16" spans="1:13" ht="20.100000000000001" customHeight="1" x14ac:dyDescent="0.3">
      <c r="A16" s="2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6"/>
    </row>
    <row r="17" spans="1:13" ht="20.100000000000001" customHeight="1" x14ac:dyDescent="0.3">
      <c r="A17" s="2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6"/>
    </row>
    <row r="18" spans="1:13" ht="20.100000000000001" customHeight="1" x14ac:dyDescent="0.3">
      <c r="A18" s="2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6"/>
    </row>
    <row r="19" spans="1:13" ht="20.100000000000001" customHeight="1" x14ac:dyDescent="0.3">
      <c r="A19" s="2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6"/>
    </row>
    <row r="20" spans="1:13" ht="20.100000000000001" customHeight="1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20.100000000000001" customHeight="1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20.100000000000001" customHeight="1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20.100000000000001" customHeight="1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20.100000000000001" customHeight="1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20.100000000000001" customHeight="1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20.100000000000001" customHeight="1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20.100000000000001" customHeight="1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20.100000000000001" customHeight="1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20.100000000000001" customHeight="1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20.100000000000001" customHeight="1" thickBot="1" x14ac:dyDescent="0.35">
      <c r="A30" s="30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6"/>
    </row>
    <row r="31" spans="1:13" ht="20.100000000000001" customHeight="1" thickBot="1" x14ac:dyDescent="0.35">
      <c r="A31" s="44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500-000000000000}"/>
    <dataValidation type="list" allowBlank="1" showInputMessage="1" showErrorMessage="1" sqref="L12:L30" xr:uid="{00000000-0002-0000-0500-000001000000}">
      <formula1>"Pass,Fail,Pending"</formula1>
    </dataValidation>
  </dataValidations>
  <hyperlinks>
    <hyperlink ref="C6" r:id="rId1" xr:uid="{5CF7F76A-6124-46BC-81A8-9F999FD2A917}"/>
  </hyperlinks>
  <printOptions horizontalCentered="1"/>
  <pageMargins left="0.25" right="0.25" top="0.75" bottom="0.75" header="0.3" footer="0.3"/>
  <pageSetup scale="92" fitToHeight="0" orientation="portrait" r:id="rId2"/>
  <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M31"/>
  <sheetViews>
    <sheetView showGridLines="0" zoomScale="70" zoomScaleNormal="70" workbookViewId="0">
      <pane ySplit="2" topLeftCell="A11" activePane="bottomLeft" state="frozen"/>
      <selection activeCell="C31" sqref="C31"/>
      <selection pane="bottomLeft" activeCell="B12" sqref="B12:M29"/>
    </sheetView>
  </sheetViews>
  <sheetFormatPr defaultColWidth="8.88671875" defaultRowHeight="20.100000000000001" customHeight="1" x14ac:dyDescent="0.3"/>
  <cols>
    <col min="1" max="1" width="1.77734375" style="1" customWidth="1"/>
    <col min="2" max="2" width="22.33203125" style="1" customWidth="1"/>
    <col min="3" max="9" width="22.21875" style="1" customWidth="1"/>
    <col min="10" max="10" width="18.33203125" style="1" customWidth="1"/>
    <col min="11" max="11" width="16.77734375" style="1" customWidth="1"/>
    <col min="12" max="12" width="11.5546875" style="1" customWidth="1"/>
    <col min="13" max="13" width="15.88671875" style="1" customWidth="1"/>
    <col min="14" max="16384" width="8.88671875" style="1"/>
  </cols>
  <sheetData>
    <row r="1" spans="1:13" ht="13.5" x14ac:dyDescent="0.3">
      <c r="A1" s="20"/>
      <c r="B1" s="21"/>
      <c r="C1" s="21"/>
      <c r="D1" s="21"/>
      <c r="E1" s="21"/>
      <c r="F1" s="21"/>
      <c r="G1" s="21"/>
      <c r="H1" s="21"/>
      <c r="I1" s="22" t="s">
        <v>0</v>
      </c>
      <c r="J1" s="22"/>
      <c r="K1" s="22"/>
      <c r="L1" s="22"/>
      <c r="M1" s="23"/>
    </row>
    <row r="2" spans="1:13" ht="168" customHeight="1" thickBot="1" x14ac:dyDescent="0.3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2"/>
    </row>
    <row r="3" spans="1:13" ht="20.100000000000001" customHeight="1" x14ac:dyDescent="0.3">
      <c r="A3" s="47"/>
      <c r="B3" s="38" t="s">
        <v>9</v>
      </c>
      <c r="C3" s="43" t="s">
        <v>22</v>
      </c>
      <c r="D3" s="20"/>
      <c r="E3" s="22"/>
      <c r="F3" s="22"/>
      <c r="G3" s="22"/>
      <c r="H3" s="22"/>
      <c r="I3" s="22"/>
      <c r="J3" s="22"/>
      <c r="K3" s="22"/>
      <c r="L3" s="22"/>
      <c r="M3" s="23"/>
    </row>
    <row r="4" spans="1:13" ht="20.100000000000001" customHeight="1" x14ac:dyDescent="0.3">
      <c r="A4" s="48"/>
      <c r="B4" s="38"/>
      <c r="C4" s="33"/>
      <c r="D4" s="24"/>
      <c r="E4" s="25"/>
      <c r="F4" s="25"/>
      <c r="G4" s="25"/>
      <c r="H4" s="25"/>
      <c r="I4" s="25"/>
      <c r="J4" s="25"/>
      <c r="K4" s="25"/>
      <c r="L4" s="25"/>
      <c r="M4" s="26"/>
    </row>
    <row r="5" spans="1:13" ht="20.100000000000001" customHeight="1" x14ac:dyDescent="0.3">
      <c r="A5" s="48"/>
      <c r="B5" s="39" t="s">
        <v>10</v>
      </c>
      <c r="C5" s="34" t="s">
        <v>21</v>
      </c>
      <c r="D5" s="24"/>
      <c r="E5" s="25"/>
      <c r="F5" s="25"/>
      <c r="G5" s="25"/>
      <c r="H5" s="25"/>
      <c r="I5" s="25"/>
      <c r="J5" s="25"/>
      <c r="K5" s="25"/>
      <c r="L5" s="25"/>
      <c r="M5" s="26"/>
    </row>
    <row r="6" spans="1:13" ht="20.100000000000001" customHeight="1" x14ac:dyDescent="0.3">
      <c r="A6" s="48"/>
      <c r="B6" s="40" t="s">
        <v>11</v>
      </c>
      <c r="C6" s="35" t="s">
        <v>20</v>
      </c>
      <c r="D6" s="24"/>
      <c r="E6" s="25"/>
      <c r="F6" s="25"/>
      <c r="G6" s="25"/>
      <c r="H6" s="25"/>
      <c r="I6" s="25"/>
      <c r="J6" s="25"/>
      <c r="K6" s="25"/>
      <c r="L6" s="25"/>
      <c r="M6" s="26"/>
    </row>
    <row r="7" spans="1:13" ht="20.100000000000001" customHeight="1" x14ac:dyDescent="0.3">
      <c r="A7" s="48"/>
      <c r="B7" s="41" t="s">
        <v>12</v>
      </c>
      <c r="C7" s="36" t="s">
        <v>15</v>
      </c>
      <c r="D7" s="24"/>
      <c r="E7" s="25"/>
      <c r="F7" s="25"/>
      <c r="G7" s="25"/>
      <c r="H7" s="25"/>
      <c r="I7" s="25"/>
      <c r="J7" s="25"/>
      <c r="K7" s="25"/>
      <c r="L7" s="25"/>
      <c r="M7" s="26"/>
    </row>
    <row r="8" spans="1:13" ht="20.100000000000001" customHeight="1" x14ac:dyDescent="0.3">
      <c r="A8" s="48"/>
      <c r="B8" s="40" t="s">
        <v>13</v>
      </c>
      <c r="C8" s="37">
        <f>DATE(2025,12,1)</f>
        <v>45992</v>
      </c>
      <c r="D8" s="24"/>
      <c r="E8" s="25"/>
      <c r="F8" s="25"/>
      <c r="G8" s="25"/>
      <c r="H8" s="25"/>
      <c r="I8" s="25"/>
      <c r="J8" s="25"/>
      <c r="K8" s="25"/>
      <c r="L8" s="25"/>
      <c r="M8" s="26"/>
    </row>
    <row r="9" spans="1:13" ht="20.100000000000001" customHeight="1" thickBot="1" x14ac:dyDescent="0.35">
      <c r="A9" s="49"/>
      <c r="B9" s="42" t="s">
        <v>14</v>
      </c>
      <c r="C9" s="19">
        <f>DATE(2025,12,3)</f>
        <v>45994</v>
      </c>
      <c r="D9" s="30"/>
      <c r="E9" s="31"/>
      <c r="F9" s="31"/>
      <c r="G9" s="31"/>
      <c r="H9" s="31"/>
      <c r="I9" s="31"/>
      <c r="J9" s="31"/>
      <c r="K9" s="31"/>
      <c r="L9" s="31"/>
      <c r="M9" s="32"/>
    </row>
    <row r="10" spans="1:13" ht="20.100000000000001" customHeight="1" thickBot="1" x14ac:dyDescent="0.35">
      <c r="A10" s="44"/>
      <c r="B10" s="50"/>
      <c r="C10" s="51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spans="1:13" ht="67.5" x14ac:dyDescent="0.3">
      <c r="A11" s="47"/>
      <c r="B11" s="11" t="s">
        <v>1</v>
      </c>
      <c r="C11" s="11" t="s">
        <v>2</v>
      </c>
      <c r="D11" s="12" t="s">
        <v>3</v>
      </c>
      <c r="E11" s="12" t="s">
        <v>4</v>
      </c>
      <c r="F11" s="12" t="s">
        <v>5</v>
      </c>
      <c r="G11" s="12" t="s">
        <v>6</v>
      </c>
      <c r="H11" s="12" t="s">
        <v>7</v>
      </c>
      <c r="I11" s="12" t="s">
        <v>8</v>
      </c>
      <c r="J11" s="12" t="s">
        <v>16</v>
      </c>
      <c r="K11" s="12" t="s">
        <v>17</v>
      </c>
      <c r="L11" s="12" t="s">
        <v>18</v>
      </c>
      <c r="M11" s="54" t="s">
        <v>218</v>
      </c>
    </row>
    <row r="12" spans="1:13" ht="31.5" x14ac:dyDescent="0.3">
      <c r="A12" s="24"/>
      <c r="B12" s="57">
        <v>1</v>
      </c>
      <c r="C12" s="57" t="s">
        <v>171</v>
      </c>
      <c r="D12" s="57" t="s">
        <v>172</v>
      </c>
      <c r="E12" s="57" t="s">
        <v>173</v>
      </c>
      <c r="F12" s="57" t="s">
        <v>174</v>
      </c>
      <c r="G12" s="57" t="s">
        <v>175</v>
      </c>
      <c r="H12" s="57" t="s">
        <v>63</v>
      </c>
      <c r="I12" s="57" t="s">
        <v>176</v>
      </c>
      <c r="J12" s="57" t="s">
        <v>177</v>
      </c>
      <c r="K12" s="57" t="s">
        <v>183</v>
      </c>
      <c r="L12" s="57" t="s">
        <v>19</v>
      </c>
      <c r="M12" s="56" t="e" vm="1">
        <v>#VALUE!</v>
      </c>
    </row>
    <row r="13" spans="1:13" ht="31.5" x14ac:dyDescent="0.3">
      <c r="A13" s="24"/>
      <c r="B13" s="57">
        <v>2</v>
      </c>
      <c r="C13" s="57" t="s">
        <v>178</v>
      </c>
      <c r="D13" s="57" t="s">
        <v>179</v>
      </c>
      <c r="E13" s="57" t="s">
        <v>180</v>
      </c>
      <c r="F13" s="57" t="s">
        <v>174</v>
      </c>
      <c r="G13" s="57" t="s">
        <v>181</v>
      </c>
      <c r="H13" s="57" t="s">
        <v>63</v>
      </c>
      <c r="I13" s="57" t="s">
        <v>182</v>
      </c>
      <c r="J13" s="57" t="s">
        <v>177</v>
      </c>
      <c r="K13" s="57" t="s">
        <v>183</v>
      </c>
      <c r="L13" s="57" t="s">
        <v>19</v>
      </c>
      <c r="M13" s="56" t="e" vm="1">
        <v>#VALUE!</v>
      </c>
    </row>
    <row r="14" spans="1:13" ht="20.100000000000001" customHeight="1" x14ac:dyDescent="0.3">
      <c r="A14" s="24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6"/>
    </row>
    <row r="15" spans="1:13" ht="20.100000000000001" customHeight="1" x14ac:dyDescent="0.3">
      <c r="A15" s="24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6"/>
    </row>
    <row r="16" spans="1:13" ht="20.100000000000001" customHeight="1" x14ac:dyDescent="0.3">
      <c r="A16" s="2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6"/>
    </row>
    <row r="17" spans="1:13" ht="20.100000000000001" customHeight="1" x14ac:dyDescent="0.3">
      <c r="A17" s="24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6"/>
    </row>
    <row r="18" spans="1:13" ht="20.100000000000001" customHeight="1" x14ac:dyDescent="0.3">
      <c r="A18" s="24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6"/>
    </row>
    <row r="19" spans="1:13" ht="20.100000000000001" customHeight="1" x14ac:dyDescent="0.3">
      <c r="A19" s="24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6"/>
    </row>
    <row r="20" spans="1:13" ht="20.100000000000001" customHeight="1" x14ac:dyDescent="0.3">
      <c r="A20" s="24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6"/>
    </row>
    <row r="21" spans="1:13" ht="20.100000000000001" customHeight="1" x14ac:dyDescent="0.3">
      <c r="A21" s="24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6"/>
    </row>
    <row r="22" spans="1:13" ht="20.100000000000001" customHeight="1" x14ac:dyDescent="0.3">
      <c r="A22" s="24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6"/>
    </row>
    <row r="23" spans="1:13" ht="20.100000000000001" customHeight="1" x14ac:dyDescent="0.3">
      <c r="A23" s="24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6"/>
    </row>
    <row r="24" spans="1:13" ht="20.100000000000001" customHeight="1" x14ac:dyDescent="0.3">
      <c r="A24" s="24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6"/>
    </row>
    <row r="25" spans="1:13" ht="20.100000000000001" customHeight="1" x14ac:dyDescent="0.3">
      <c r="A25" s="24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6"/>
    </row>
    <row r="26" spans="1:13" ht="20.100000000000001" customHeight="1" x14ac:dyDescent="0.3">
      <c r="A26" s="24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6"/>
    </row>
    <row r="27" spans="1:13" ht="20.100000000000001" customHeight="1" x14ac:dyDescent="0.3">
      <c r="A27" s="24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6"/>
    </row>
    <row r="28" spans="1:13" ht="20.100000000000001" customHeight="1" x14ac:dyDescent="0.3">
      <c r="A28" s="24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6"/>
    </row>
    <row r="29" spans="1:13" ht="20.100000000000001" customHeight="1" x14ac:dyDescent="0.3">
      <c r="A29" s="24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6"/>
    </row>
    <row r="30" spans="1:13" ht="20.100000000000001" customHeight="1" thickBot="1" x14ac:dyDescent="0.35">
      <c r="A30" s="4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53"/>
    </row>
    <row r="31" spans="1:13" ht="20.100000000000001" customHeight="1" thickBot="1" x14ac:dyDescent="0.3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6"/>
    </row>
  </sheetData>
  <mergeCells count="2">
    <mergeCell ref="B3:B4"/>
    <mergeCell ref="C3:C4"/>
  </mergeCells>
  <dataValidations count="2">
    <dataValidation allowBlank="1" showInputMessage="1" showErrorMessage="1" promptTitle="Sales Report Template" prompt="_x000a_Enter Sales Data to the table below. The next four tabs contain pivot tables linked to this table." sqref="A1" xr:uid="{00000000-0002-0000-0600-000000000000}"/>
    <dataValidation type="list" allowBlank="1" showInputMessage="1" showErrorMessage="1" sqref="L12:L30" xr:uid="{00000000-0002-0000-0600-000001000000}">
      <formula1>"Pass,Fail,Pending"</formula1>
    </dataValidation>
  </dataValidations>
  <hyperlinks>
    <hyperlink ref="C6" r:id="rId1" xr:uid="{F727FEA5-46F9-40D9-B34C-34C68BB0AA71}"/>
  </hyperlinks>
  <printOptions horizontalCentered="1"/>
  <pageMargins left="0.25" right="0.25" top="0.75" bottom="0.75" header="0.3" footer="0.3"/>
  <pageSetup scale="92" fitToHeight="0" orientation="portrait" r:id="rId2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E854-F334-4102-ADD0-A9C2ABC88271}">
  <dimension ref="A1:Q45"/>
  <sheetViews>
    <sheetView topLeftCell="A3" zoomScale="85" zoomScaleNormal="85" workbookViewId="0">
      <selection activeCell="S22" sqref="S22"/>
    </sheetView>
  </sheetViews>
  <sheetFormatPr defaultRowHeight="15.75" x14ac:dyDescent="0.3"/>
  <sheetData>
    <row r="1" spans="1:17" x14ac:dyDescent="0.3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7" x14ac:dyDescent="0.3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1:17" x14ac:dyDescent="0.3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1:17" x14ac:dyDescent="0.3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</row>
    <row r="7" spans="1:17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</row>
    <row r="8" spans="1:17" x14ac:dyDescent="0.3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17" x14ac:dyDescent="0.3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1:17" x14ac:dyDescent="0.3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1:17" x14ac:dyDescent="0.3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</row>
    <row r="12" spans="1:17" x14ac:dyDescent="0.3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</row>
    <row r="13" spans="1:17" x14ac:dyDescent="0.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</row>
    <row r="14" spans="1:17" x14ac:dyDescent="0.3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</row>
    <row r="15" spans="1:17" x14ac:dyDescent="0.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spans="1:17" x14ac:dyDescent="0.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</row>
    <row r="17" spans="1:17" x14ac:dyDescent="0.3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spans="1:17" x14ac:dyDescent="0.3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1:17" x14ac:dyDescent="0.3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1:17" x14ac:dyDescent="0.3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1:17" x14ac:dyDescent="0.3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spans="1:17" x14ac:dyDescent="0.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1:17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</row>
    <row r="24" spans="1:17" x14ac:dyDescent="0.3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</row>
    <row r="25" spans="1:17" x14ac:dyDescent="0.3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</row>
    <row r="26" spans="1:17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</row>
    <row r="27" spans="1:17" x14ac:dyDescent="0.3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</row>
    <row r="28" spans="1:17" x14ac:dyDescent="0.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</row>
    <row r="29" spans="1:17" x14ac:dyDescent="0.3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</row>
    <row r="30" spans="1:17" x14ac:dyDescent="0.3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</row>
    <row r="31" spans="1:17" x14ac:dyDescent="0.3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</row>
    <row r="32" spans="1:17" x14ac:dyDescent="0.3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</row>
    <row r="33" spans="1:17" x14ac:dyDescent="0.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</row>
    <row r="34" spans="1:17" x14ac:dyDescent="0.3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</row>
    <row r="35" spans="1:17" x14ac:dyDescent="0.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</row>
    <row r="36" spans="1:17" x14ac:dyDescent="0.3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</row>
    <row r="37" spans="1:17" x14ac:dyDescent="0.3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</row>
    <row r="38" spans="1:17" x14ac:dyDescent="0.3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</row>
    <row r="39" spans="1:17" x14ac:dyDescent="0.3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</row>
    <row r="40" spans="1:17" x14ac:dyDescent="0.3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</row>
    <row r="41" spans="1:17" x14ac:dyDescent="0.3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</row>
    <row r="42" spans="1:17" x14ac:dyDescent="0.3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spans="1:17" x14ac:dyDescent="0.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</row>
    <row r="44" spans="1:17" x14ac:dyDescent="0.3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</row>
    <row r="45" spans="1:17" x14ac:dyDescent="0.3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3412-154B-4485-90AB-331937A16E6A}">
  <dimension ref="A1:L7"/>
  <sheetViews>
    <sheetView workbookViewId="0">
      <selection activeCell="E25" sqref="E25"/>
    </sheetView>
  </sheetViews>
  <sheetFormatPr defaultRowHeight="15.75" x14ac:dyDescent="0.3"/>
  <cols>
    <col min="1" max="1" width="23.77734375" bestFit="1" customWidth="1"/>
    <col min="2" max="2" width="11.21875" bestFit="1" customWidth="1"/>
    <col min="3" max="3" width="9.88671875" bestFit="1" customWidth="1"/>
    <col min="5" max="5" width="5.5546875" bestFit="1" customWidth="1"/>
    <col min="6" max="6" width="14.77734375" bestFit="1" customWidth="1"/>
    <col min="8" max="8" width="10.6640625" bestFit="1" customWidth="1"/>
    <col min="9" max="9" width="6.44140625" bestFit="1" customWidth="1"/>
    <col min="11" max="11" width="10.77734375" bestFit="1" customWidth="1"/>
    <col min="12" max="12" width="13.33203125" bestFit="1" customWidth="1"/>
  </cols>
  <sheetData>
    <row r="1" spans="1:12" x14ac:dyDescent="0.3">
      <c r="A1" t="s">
        <v>195</v>
      </c>
      <c r="B1" t="s">
        <v>196</v>
      </c>
      <c r="C1" t="s">
        <v>197</v>
      </c>
      <c r="E1" t="s">
        <v>202</v>
      </c>
      <c r="F1" t="s">
        <v>203</v>
      </c>
      <c r="H1" t="s">
        <v>210</v>
      </c>
      <c r="I1" t="s">
        <v>211</v>
      </c>
      <c r="K1" t="s">
        <v>216</v>
      </c>
      <c r="L1" t="s">
        <v>217</v>
      </c>
    </row>
    <row r="2" spans="1:12" x14ac:dyDescent="0.3">
      <c r="A2" t="s">
        <v>198</v>
      </c>
      <c r="B2">
        <v>1200</v>
      </c>
      <c r="C2">
        <v>650</v>
      </c>
      <c r="E2" t="s">
        <v>204</v>
      </c>
      <c r="F2">
        <v>62</v>
      </c>
      <c r="H2" t="s">
        <v>212</v>
      </c>
      <c r="I2">
        <v>45</v>
      </c>
      <c r="K2">
        <v>1200</v>
      </c>
      <c r="L2">
        <v>2.8</v>
      </c>
    </row>
    <row r="3" spans="1:12" x14ac:dyDescent="0.3">
      <c r="A3" t="s">
        <v>199</v>
      </c>
      <c r="B3">
        <v>4.8</v>
      </c>
      <c r="C3">
        <v>1.2</v>
      </c>
      <c r="E3" t="s">
        <v>205</v>
      </c>
      <c r="F3">
        <v>68</v>
      </c>
      <c r="H3" t="s">
        <v>213</v>
      </c>
      <c r="I3">
        <v>30</v>
      </c>
      <c r="K3">
        <v>1000</v>
      </c>
      <c r="L3">
        <v>3.1</v>
      </c>
    </row>
    <row r="4" spans="1:12" x14ac:dyDescent="0.3">
      <c r="A4" t="s">
        <v>200</v>
      </c>
      <c r="B4">
        <v>3.2</v>
      </c>
      <c r="C4">
        <v>5.0999999999999996</v>
      </c>
      <c r="E4" t="s">
        <v>206</v>
      </c>
      <c r="F4">
        <v>72</v>
      </c>
      <c r="H4" t="s">
        <v>214</v>
      </c>
      <c r="I4">
        <v>15</v>
      </c>
      <c r="K4">
        <v>900</v>
      </c>
      <c r="L4">
        <v>3.6</v>
      </c>
    </row>
    <row r="5" spans="1:12" x14ac:dyDescent="0.3">
      <c r="A5" t="s">
        <v>201</v>
      </c>
      <c r="B5">
        <v>1.6</v>
      </c>
      <c r="C5">
        <v>3.4</v>
      </c>
      <c r="E5" t="s">
        <v>207</v>
      </c>
      <c r="F5">
        <v>78</v>
      </c>
      <c r="H5" t="s">
        <v>215</v>
      </c>
      <c r="I5">
        <v>10</v>
      </c>
      <c r="K5">
        <v>800</v>
      </c>
      <c r="L5">
        <v>4.2</v>
      </c>
    </row>
    <row r="6" spans="1:12" x14ac:dyDescent="0.3">
      <c r="E6" t="s">
        <v>208</v>
      </c>
      <c r="F6">
        <v>85</v>
      </c>
      <c r="K6">
        <v>700</v>
      </c>
      <c r="L6">
        <v>4.7</v>
      </c>
    </row>
    <row r="7" spans="1:12" x14ac:dyDescent="0.3">
      <c r="E7" t="s">
        <v>209</v>
      </c>
      <c r="F7">
        <v>92</v>
      </c>
      <c r="K7">
        <v>650</v>
      </c>
      <c r="L7">
        <v>5.0999999999999996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C031C24-6421-4A1B-96D9-6AF356FB1E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F98646-19E3-44E4-A0A6-A605E1CF9F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8DD818-6DDE-469B-A121-14AD69DE1E2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fb0879af-3eba-417a-a55a-ffe6dcd6ca77"/>
    <ds:schemaRef ds:uri="6dc4bcd6-49db-4c07-9060-8acfc67cef9f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Login</vt:lpstr>
      <vt:lpstr>Navigation</vt:lpstr>
      <vt:lpstr>Cart</vt:lpstr>
      <vt:lpstr>Checkout1</vt:lpstr>
      <vt:lpstr>Checkout2</vt:lpstr>
      <vt:lpstr>Complete</vt:lpstr>
      <vt:lpstr>Home</vt:lpstr>
      <vt:lpstr>Charts</vt:lpstr>
      <vt:lpstr>DashboardData</vt:lpstr>
      <vt:lpstr>Cart!Print_Titles</vt:lpstr>
      <vt:lpstr>Checkout1!Print_Titles</vt:lpstr>
      <vt:lpstr>Checkout2!Print_Titles</vt:lpstr>
      <vt:lpstr>Complete!Print_Titles</vt:lpstr>
      <vt:lpstr>Home!Print_Titles</vt:lpstr>
      <vt:lpstr>Login!Print_Titles</vt:lpstr>
      <vt:lpstr>Navigation!Print_Titles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2018-08-24T17:19:36Z</dcterms:created>
  <dcterms:modified xsi:type="dcterms:W3CDTF">2025-12-03T02:18:00Z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